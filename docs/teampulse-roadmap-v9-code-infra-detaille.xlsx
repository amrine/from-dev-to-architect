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maamrine/IdeaProjects/teampulse-parent/docs/"/>
    </mc:Choice>
  </mc:AlternateContent>
  <xr:revisionPtr revIDLastSave="0" documentId="13_ncr:1_{1D940933-8941-7F4D-B2B2-0A8A2D0FA60E}" xr6:coauthVersionLast="47" xr6:coauthVersionMax="47" xr10:uidLastSave="{00000000-0000-0000-0000-000000000000}"/>
  <bookViews>
    <workbookView xWindow="0" yWindow="600" windowWidth="68800" windowHeight="27180" activeTab="7" xr2:uid="{00000000-000D-0000-FFFF-FFFF00000000}"/>
  </bookViews>
  <sheets>
    <sheet name="Dashboard" sheetId="1" r:id="rId1"/>
    <sheet name="Année 3 - Guide" sheetId="2" r:id="rId2"/>
    <sheet name="Année 3 - Axe A (Platform)" sheetId="3" r:id="rId3"/>
    <sheet name="Année 3 - Axe B (Security)" sheetId="4" r:id="rId4"/>
    <sheet name="Année 3 - Axe C (Network)" sheetId="5" r:id="rId5"/>
    <sheet name="Année 3 - Axe D (Data)" sheetId="6" r:id="rId6"/>
    <sheet name="Planning Détaillé" sheetId="7" r:id="rId7"/>
    <sheet name="Emploi du temps (W001-W122)" sheetId="8" r:id="rId8"/>
    <sheet name="Catalogue Formations" sheetId="9" r:id="rId9"/>
    <sheet name="TeamPulse Evolution" sheetId="10" r:id="rId10"/>
    <sheet name="TeamPulse Features" sheetId="11" r:id="rId11"/>
    <sheet name="LocalStack vs AWS" sheetId="12" r:id="rId12"/>
    <sheet name="TeamPulse - Exécution" sheetId="13" r:id="rId13"/>
    <sheet name="Scénario métier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8" l="1"/>
  <c r="B120" i="8" s="1"/>
  <c r="C120" i="8" s="1"/>
  <c r="B16" i="8" l="1"/>
  <c r="C16" i="8" s="1"/>
  <c r="B76" i="8"/>
  <c r="C76" i="8" s="1"/>
  <c r="B43" i="8"/>
  <c r="C43" i="8" s="1"/>
  <c r="B18" i="8"/>
  <c r="C18" i="8" s="1"/>
  <c r="B21" i="8"/>
  <c r="C21" i="8" s="1"/>
  <c r="B54" i="8"/>
  <c r="C54" i="8" s="1"/>
  <c r="B87" i="8"/>
  <c r="C87" i="8" s="1"/>
  <c r="B51" i="8"/>
  <c r="C51" i="8" s="1"/>
  <c r="B98" i="8"/>
  <c r="C98" i="8" s="1"/>
  <c r="B29" i="8"/>
  <c r="C29" i="8" s="1"/>
  <c r="B109" i="8"/>
  <c r="C109" i="8" s="1"/>
  <c r="B32" i="8"/>
  <c r="C32" i="8" s="1"/>
  <c r="B62" i="8"/>
  <c r="C62" i="8" s="1"/>
  <c r="B65" i="8"/>
  <c r="C65" i="8" s="1"/>
  <c r="B137" i="8"/>
  <c r="C137" i="8" s="1"/>
  <c r="B136" i="8"/>
  <c r="C136" i="8" s="1"/>
  <c r="B125" i="8"/>
  <c r="C125" i="8" s="1"/>
  <c r="B114" i="8"/>
  <c r="C114" i="8" s="1"/>
  <c r="B103" i="8"/>
  <c r="C103" i="8" s="1"/>
  <c r="B92" i="8"/>
  <c r="C92" i="8" s="1"/>
  <c r="B81" i="8"/>
  <c r="C81" i="8" s="1"/>
  <c r="B70" i="8"/>
  <c r="C70" i="8" s="1"/>
  <c r="B59" i="8"/>
  <c r="C59" i="8" s="1"/>
  <c r="B48" i="8"/>
  <c r="C48" i="8" s="1"/>
  <c r="B37" i="8"/>
  <c r="C37" i="8" s="1"/>
  <c r="B26" i="8"/>
  <c r="C26" i="8" s="1"/>
  <c r="B129" i="8"/>
  <c r="C129" i="8" s="1"/>
  <c r="B118" i="8"/>
  <c r="C118" i="8" s="1"/>
  <c r="B107" i="8"/>
  <c r="C107" i="8" s="1"/>
  <c r="B96" i="8"/>
  <c r="C96" i="8" s="1"/>
  <c r="B85" i="8"/>
  <c r="C85" i="8" s="1"/>
  <c r="B74" i="8"/>
  <c r="C74" i="8" s="1"/>
  <c r="B63" i="8"/>
  <c r="C63" i="8" s="1"/>
  <c r="B52" i="8"/>
  <c r="C52" i="8" s="1"/>
  <c r="B30" i="8"/>
  <c r="C30" i="8" s="1"/>
  <c r="B19" i="8"/>
  <c r="C19" i="8" s="1"/>
  <c r="B123" i="8"/>
  <c r="C123" i="8" s="1"/>
  <c r="B112" i="8"/>
  <c r="C112" i="8" s="1"/>
  <c r="B101" i="8"/>
  <c r="C101" i="8" s="1"/>
  <c r="B90" i="8"/>
  <c r="C90" i="8" s="1"/>
  <c r="B79" i="8"/>
  <c r="C79" i="8" s="1"/>
  <c r="B57" i="8"/>
  <c r="C57" i="8" s="1"/>
  <c r="B46" i="8"/>
  <c r="C46" i="8" s="1"/>
  <c r="B24" i="8"/>
  <c r="C24" i="8" s="1"/>
  <c r="B128" i="8"/>
  <c r="C128" i="8" s="1"/>
  <c r="B130" i="8"/>
  <c r="C130" i="8" s="1"/>
  <c r="B119" i="8"/>
  <c r="C119" i="8" s="1"/>
  <c r="B108" i="8"/>
  <c r="C108" i="8" s="1"/>
  <c r="B97" i="8"/>
  <c r="C97" i="8" s="1"/>
  <c r="B86" i="8"/>
  <c r="C86" i="8" s="1"/>
  <c r="B75" i="8"/>
  <c r="C75" i="8" s="1"/>
  <c r="B64" i="8"/>
  <c r="C64" i="8" s="1"/>
  <c r="B53" i="8"/>
  <c r="C53" i="8" s="1"/>
  <c r="B42" i="8"/>
  <c r="C42" i="8" s="1"/>
  <c r="B31" i="8"/>
  <c r="C31" i="8" s="1"/>
  <c r="B20" i="8"/>
  <c r="C20" i="8" s="1"/>
  <c r="B124" i="8"/>
  <c r="C124" i="8" s="1"/>
  <c r="B113" i="8"/>
  <c r="C113" i="8" s="1"/>
  <c r="B102" i="8"/>
  <c r="C102" i="8" s="1"/>
  <c r="B91" i="8"/>
  <c r="C91" i="8" s="1"/>
  <c r="B80" i="8"/>
  <c r="C80" i="8" s="1"/>
  <c r="B69" i="8"/>
  <c r="C69" i="8" s="1"/>
  <c r="B58" i="8"/>
  <c r="C58" i="8" s="1"/>
  <c r="B47" i="8"/>
  <c r="C47" i="8" s="1"/>
  <c r="B36" i="8"/>
  <c r="C36" i="8" s="1"/>
  <c r="B25" i="8"/>
  <c r="C25" i="8" s="1"/>
  <c r="B41" i="8"/>
  <c r="C41" i="8" s="1"/>
  <c r="B68" i="8"/>
  <c r="C68" i="8" s="1"/>
  <c r="B35" i="8"/>
  <c r="C35" i="8" s="1"/>
  <c r="B117" i="8"/>
  <c r="C117" i="8" s="1"/>
  <c r="B106" i="8"/>
  <c r="C106" i="8" s="1"/>
  <c r="B95" i="8"/>
  <c r="C95" i="8" s="1"/>
  <c r="B84" i="8"/>
  <c r="C84" i="8" s="1"/>
  <c r="B73" i="8"/>
  <c r="C73" i="8" s="1"/>
  <c r="B135" i="8"/>
  <c r="C135" i="8" s="1"/>
  <c r="B134" i="8"/>
  <c r="C134" i="8" s="1"/>
  <c r="B133" i="8"/>
  <c r="C133" i="8" s="1"/>
  <c r="B122" i="8"/>
  <c r="C122" i="8" s="1"/>
  <c r="B111" i="8"/>
  <c r="C111" i="8" s="1"/>
  <c r="B100" i="8"/>
  <c r="C100" i="8" s="1"/>
  <c r="B89" i="8"/>
  <c r="C89" i="8" s="1"/>
  <c r="B78" i="8"/>
  <c r="C78" i="8" s="1"/>
  <c r="B67" i="8"/>
  <c r="C67" i="8" s="1"/>
  <c r="B56" i="8"/>
  <c r="C56" i="8" s="1"/>
  <c r="B45" i="8"/>
  <c r="C45" i="8" s="1"/>
  <c r="B34" i="8"/>
  <c r="C34" i="8" s="1"/>
  <c r="B23" i="8"/>
  <c r="C23" i="8" s="1"/>
  <c r="B127" i="8"/>
  <c r="C127" i="8" s="1"/>
  <c r="B116" i="8"/>
  <c r="C116" i="8" s="1"/>
  <c r="B105" i="8"/>
  <c r="C105" i="8" s="1"/>
  <c r="B94" i="8"/>
  <c r="C94" i="8" s="1"/>
  <c r="B83" i="8"/>
  <c r="C83" i="8" s="1"/>
  <c r="B72" i="8"/>
  <c r="C72" i="8" s="1"/>
  <c r="B61" i="8"/>
  <c r="C61" i="8" s="1"/>
  <c r="B50" i="8"/>
  <c r="C50" i="8" s="1"/>
  <c r="B39" i="8"/>
  <c r="C39" i="8" s="1"/>
  <c r="B28" i="8"/>
  <c r="C28" i="8" s="1"/>
  <c r="B17" i="8"/>
  <c r="C17" i="8" s="1"/>
  <c r="B132" i="8"/>
  <c r="C132" i="8" s="1"/>
  <c r="B121" i="8"/>
  <c r="C121" i="8" s="1"/>
  <c r="B110" i="8"/>
  <c r="C110" i="8" s="1"/>
  <c r="B99" i="8"/>
  <c r="C99" i="8" s="1"/>
  <c r="B88" i="8"/>
  <c r="C88" i="8" s="1"/>
  <c r="B77" i="8"/>
  <c r="C77" i="8" s="1"/>
  <c r="B66" i="8"/>
  <c r="C66" i="8" s="1"/>
  <c r="B55" i="8"/>
  <c r="C55" i="8" s="1"/>
  <c r="B44" i="8"/>
  <c r="C44" i="8" s="1"/>
  <c r="B33" i="8"/>
  <c r="C33" i="8" s="1"/>
  <c r="B22" i="8"/>
  <c r="C22" i="8" s="1"/>
  <c r="B126" i="8"/>
  <c r="C126" i="8" s="1"/>
  <c r="B115" i="8"/>
  <c r="C115" i="8" s="1"/>
  <c r="B104" i="8"/>
  <c r="C104" i="8" s="1"/>
  <c r="B93" i="8"/>
  <c r="C93" i="8" s="1"/>
  <c r="B82" i="8"/>
  <c r="C82" i="8" s="1"/>
  <c r="B71" i="8"/>
  <c r="C71" i="8" s="1"/>
  <c r="B60" i="8"/>
  <c r="C60" i="8" s="1"/>
  <c r="B49" i="8"/>
  <c r="C49" i="8" s="1"/>
  <c r="B38" i="8"/>
  <c r="C38" i="8" s="1"/>
  <c r="B27" i="8"/>
  <c r="C27" i="8" s="1"/>
  <c r="B40" i="8"/>
  <c r="C40" i="8" s="1"/>
  <c r="B131" i="8"/>
  <c r="C131" i="8" s="1"/>
</calcChain>
</file>

<file path=xl/sharedStrings.xml><?xml version="1.0" encoding="utf-8"?>
<sst xmlns="http://schemas.openxmlformats.org/spreadsheetml/2006/main" count="5982" uniqueCount="2855">
  <si>
    <t>🎯 TeamPulse Roadmap - Programme Architecte 28 mois</t>
  </si>
  <si>
    <t>📊 Répartition hebdomadaire</t>
  </si>
  <si>
    <t>Jour</t>
  </si>
  <si>
    <t>Activité</t>
  </si>
  <si>
    <t>Durée</t>
  </si>
  <si>
    <t>Type</t>
  </si>
  <si>
    <t>Lundi matin (TT)</t>
  </si>
  <si>
    <t>🎬 Formation vidéo</t>
  </si>
  <si>
    <t>1h30</t>
  </si>
  <si>
    <t>Formation</t>
  </si>
  <si>
    <t>Mardi matin (TT)</t>
  </si>
  <si>
    <t>Mardi soir (TT)</t>
  </si>
  <si>
    <t>💻 Projet TeamPulse</t>
  </si>
  <si>
    <t>1h (optionnel)</t>
  </si>
  <si>
    <t>Projet</t>
  </si>
  <si>
    <t>Samedi matin</t>
  </si>
  <si>
    <t>3h</t>
  </si>
  <si>
    <t>TOTAL</t>
  </si>
  <si>
    <t>~7h/semaine</t>
  </si>
  <si>
    <t>📈 Statistiques</t>
  </si>
  <si>
    <t>Durée totale</t>
  </si>
  <si>
    <t>122 semaines (~28 mois)</t>
  </si>
  <si>
    <t>Heures formation</t>
  </si>
  <si>
    <t>~300h (40%)</t>
  </si>
  <si>
    <t>Heures projet TeamPulse</t>
  </si>
  <si>
    <t>~500h (60%)</t>
  </si>
  <si>
    <t>Total</t>
  </si>
  <si>
    <t>~800h</t>
  </si>
  <si>
    <t>Certifications</t>
  </si>
  <si>
    <t>3 (SAA-C03, Terraform 004, SAP-C02)</t>
  </si>
  <si>
    <t>ADRs à produire</t>
  </si>
  <si>
    <t>21</t>
  </si>
  <si>
    <t>Runbooks à produire</t>
  </si>
  <si>
    <t>15+</t>
  </si>
  <si>
    <t>🗺️ Roadmap Année 3 (optionnelle) — Axes A/B/C/D</t>
  </si>
  <si>
    <t>Cette roadmap (W123–W174) prolonge le programme après 28 mois. À ce moment, choisis 1 AXE PRINCIPAL + 1 AXE SECONDAIRE parmi A/B/C/D et suis la feuille correspondante (répartition 70/30).</t>
  </si>
  <si>
    <t>🗺️ Roadmap Année 3 — Choix d’axes (W123 à W174)</t>
  </si>
  <si>
    <t>⚠️ Règle</t>
  </si>
  <si>
    <t>En Année 3, choisis 1 AXE PRINCIPAL + 1 AXE SECONDAIRE parmi A/B/C/D.
• Axe principal = 70% de l’effort (la feuille hebdo complète)
• Axe secondaire = 30% (1 petit livrable toutes les 1–2 semaines)
Objectif: approfondir sans exploser ton temps (couple + sport).</t>
  </si>
  <si>
    <t>Axe</t>
  </si>
  <si>
    <t>Quand le choisir comme AXE PRINCIPAL</t>
  </si>
  <si>
    <t>Livrables forts attendus (fin année 3)</t>
  </si>
  <si>
    <t>Feuille</t>
  </si>
  <si>
    <t>A — Platform / DevOps Architect</t>
  </si>
  <si>
    <t>Tu veux être crédible sur delivery &amp; ops: IaC, CI/CD, GitOps, observabilité, coûts, runbooks. Très bon pour viser Architecte/Lead Platform.</t>
  </si>
  <si>
    <t>Golden paths (templates), GitOps mature, modules IaC propres, SLO+alerting+runbooks, release progressive, handbook plateforme, démos end-to-end.</t>
  </si>
  <si>
    <t>Année 3 - Axe A (Platform)</t>
  </si>
  <si>
    <t>B — Cloud Security Architect</t>
  </si>
  <si>
    <t>Tu veux te spécialiser sécurité: IAM/KMS/secrets, detection/response, posture, supply chain, audits. Utile si ton contexte est sécu/compliance.</t>
  </si>
  <si>
    <t>Threat models, standards sécurité, playbooks IR, evidence pack, pipelines sécurisés (SBOM/scans/policies), drills, KPIs sécurité.</t>
  </si>
  <si>
    <t>Année 3 - Axe B (Security)</t>
  </si>
  <si>
    <t>C — Network/Hybrid Architect</t>
  </si>
  <si>
    <t>Tu veux maîtriser le réseau/hybride: VPC routing, TGW/VPN/DX (concept), edge/global, perf/latency, DR multi-region.</t>
  </si>
  <si>
    <t>Network standards, runbooks troubleshooting, designs hybrid/multi-region, modules IaC réseau testés, game days DR réseau, guardrails coûts réseau.</t>
  </si>
  <si>
    <t>Année 3 - Axe C (Network)</t>
  </si>
  <si>
    <t>D — Data/Streaming Architect</t>
  </si>
  <si>
    <t>Tu veux piloter l’event-driven &amp; data products: Kafka, contracts, governance, quality, lineage, pipelines lake/analytics.</t>
  </si>
  <si>
    <t>Event standards + schema evolution, outbox/DLQ mature, SLO streaming, governance self-service, data quality &amp; lineage, capstone data product, handbook DataOps.</t>
  </si>
  <si>
    <t>Année 3 - Axe D (Data)</t>
  </si>
  <si>
    <t>✅ Conseils pour rester efficace (sans sacrifier sport/couple)</t>
  </si>
  <si>
    <t>• Ne fais pas 2 axes en parallèle à 50/50.
• Le samedi = livrable principal. Lundi/mardi matin = apprentissage ciblé.
• Chaque semaine: 1 artefact “architecte” (ADR, runbook, checklist, design).
• Si surcharge: conserve 1h de “maintenance” (notes + backlog) au lieu d’ajouter des cours.</t>
  </si>
  <si>
    <t>Semaine</t>
  </si>
  <si>
    <t>Mois</t>
  </si>
  <si>
    <t>Phase</t>
  </si>
  <si>
    <t>Formation (Lun/Mar)</t>
  </si>
  <si>
    <t>Heures Form.</t>
  </si>
  <si>
    <t>Chemin Formation</t>
  </si>
  <si>
    <t>Tâches TeamPulse (Mar soir/Sam)</t>
  </si>
  <si>
    <t>Heures Projet</t>
  </si>
  <si>
    <t>Artefact</t>
  </si>
  <si>
    <t>Status</t>
  </si>
  <si>
    <t>Notes</t>
  </si>
  <si>
    <t>W123</t>
  </si>
  <si>
    <t>A3-M1</t>
  </si>
  <si>
    <t>Année 3</t>
  </si>
  <si>
    <t>Définir objectifs plateforme (DX, time-to-prod, SLO) + priorités</t>
  </si>
  <si>
    <t>Docs/Année3/AxeA</t>
  </si>
  <si>
    <t>• Choisir axe principal + secondaire
• Créer doc "Platform Vision" (1 page) + KPIs
• Lister 10 pain points dev/ops à réduire
• Créer backlog (max 30 items)</t>
  </si>
  <si>
    <t>4h</t>
  </si>
  <si>
    <t>Platform Vision + KPIs</t>
  </si>
  <si>
    <t>⬜</t>
  </si>
  <si>
    <t>W124</t>
  </si>
  <si>
    <t>Structurer repo (app/infra/docs), conventions branches &amp; releases</t>
  </si>
  <si>
    <t>DevOps/git &amp; gitlab &amp; github/</t>
  </si>
  <si>
    <t>• Créer structure repo standard (monorepo ou multi-repos)
• Ajouter conventions: naming, tagging, versions
• Ajouter templates README + CONTRIBUTING
• Créer ADR-100 "Repo standards"</t>
  </si>
  <si>
    <t>ADR-100 Repo standards</t>
  </si>
  <si>
    <t>W125</t>
  </si>
  <si>
    <t>Scaffolding : microservice Spring Boot prêt prod (logs, health, metrics)</t>
  </si>
  <si>
    <t>Dev/java/</t>
  </si>
  <si>
    <t>• Créer template service (Spring Boot) avec Actuator + logs JSON
• Ajouter health/metrics endpoints et correlation-id
• Ajouter tests de base (unit + integration smoke)
• Documenter "Créer un service en 30 min"</t>
  </si>
  <si>
    <t>Template service v1 + guide</t>
  </si>
  <si>
    <t>W126</t>
  </si>
  <si>
    <t>Pipeline standard (build/test/scan/build image) réutilisable</t>
  </si>
  <si>
    <t>• Extraire pipeline en template (include)
• Ajouter quality gates minimales (tests + scan deps)
• Ajouter versioning image + tags
• Créer ADR-101 "CI standard"</t>
  </si>
  <si>
    <t>ADR-101 CI standard</t>
  </si>
  <si>
    <t>W127</t>
  </si>
  <si>
    <t>App-of-apps + environnements + conventions Helm</t>
  </si>
  <si>
    <t>• Installer/Configurer Argo CD (si déjà fait: standardiser)
• Mettre en place app-of-apps
• Créer conventions Helm (values par env)
• Documenter "Déployer via GitOps"</t>
  </si>
  <si>
    <t>GitOps baseline v1</t>
  </si>
  <si>
    <t>W128</t>
  </si>
  <si>
    <t>A3-M2</t>
  </si>
  <si>
    <t>Self-service env: modules IaC + variables standard</t>
  </si>
  <si>
    <t>DevOps/terraform/</t>
  </si>
  <si>
    <t>• Créer module 'env' (network + eks namespace + secrets)
• Définir variables standard (env, region, tags, owner)
• Ajouter remote state + locking si pas fait
• Créer ADR-102 "Env provisioning"</t>
  </si>
  <si>
    <t>ADR-102 Env provisioning</t>
  </si>
  <si>
    <t>W129</t>
  </si>
  <si>
    <t>Standard dashboards/alerts/runbooks (minimum viable ops)</t>
  </si>
  <si>
    <t>DevOps/visualisation/</t>
  </si>
  <si>
    <t>• Définir 6 métriques golden signals (latence, erreurs, trafic, saturation)
• Créer dashboard standard + 5 alertes utiles
• Créer runbook "latence" + "5xx"
• Ajouter checklist release</t>
  </si>
  <si>
    <t>Dashboard+Alerting pack v1</t>
  </si>
  <si>
    <t>W130</t>
  </si>
  <si>
    <t>Déploiement progressif + critères rollback</t>
  </si>
  <si>
    <t>DevOps/docker &amp;&amp; kubernetes/</t>
  </si>
  <si>
    <t>• Mettre en place canary (Ingress/Service mesh simple si possible)
• Définir métriques de succès + seuils
• Automatiser rollback manuel (script/runbook)
• Créer ADR-103 "Release strategy"</t>
  </si>
  <si>
    <t>ADR-103 Release strategy</t>
  </si>
  <si>
    <t>W131</t>
  </si>
  <si>
    <t>DX: documentation centralisée (mkdocs/docusaurus simple)</t>
  </si>
  <si>
    <t>• Créer site docs (Architecture, Runbooks, How-to)
• Ajouter page "golden path" (new service, deploy, observe)
• Ajouter checklist onboarding 1h
• Publier (GitHub Pages ou équivalent)</t>
  </si>
  <si>
    <t>Portail docs v1</t>
  </si>
  <si>
    <t>W132</t>
  </si>
  <si>
    <t>A3-M3</t>
  </si>
  <si>
    <t>Tagging, budgets, alertes coûts, ownership</t>
  </si>
  <si>
    <t>AWS/general/</t>
  </si>
  <si>
    <t>• Mettre tags obligatoires (owner, env, cost-center)
• Créer budget + alertes (seuils) + runbook coûts
• Créer dashboard coûts simple
• Créer ADR-104 "Cost guardrails"</t>
  </si>
  <si>
    <t>ADR-104 Cost guardrails</t>
  </si>
  <si>
    <t>W133</t>
  </si>
  <si>
    <t>Isolation: quotas, limits, RBAC, conventions</t>
  </si>
  <si>
    <t>• Définir standards namespaces (team/env)
• Appliquer resource quotas + limit ranges
• RBAC de base par équipe
• Documenter "Créer un namespace"</t>
  </si>
  <si>
    <t>Standards multi-tenant v1</t>
  </si>
  <si>
    <t>W134</t>
  </si>
  <si>
    <t>Service catalog: ownership, SLIs, liens runbooks</t>
  </si>
  <si>
    <t>• Lister services + owners + dépendances
• Ajouter SLIs/SLOs par service
• Associer runbooks et dashboards
• Créer ADR-105 "Service catalog"</t>
  </si>
  <si>
    <t>ADR-105 Service catalog</t>
  </si>
  <si>
    <t>W135</t>
  </si>
  <si>
    <t>Revue plateforme : ce qui réduit vraiment le toil &amp; améliore DX</t>
  </si>
  <si>
    <t>• Faire démo "new service → deploy → observe" (end-to-end)
• Mesurer 2 KPIs (ex: temps de mise en prod)
• Nettoyer backlog (supprimer 30% inutile)
• Écrire postmortem "ce qui a marché/pas"</t>
  </si>
  <si>
    <t>Démo Q1 + retro plateforme</t>
  </si>
  <si>
    <t>W136</t>
  </si>
  <si>
    <t>A3-M4</t>
  </si>
  <si>
    <t>Créer un template threat model (1 page) + security checklist</t>
  </si>
  <si>
    <t>Sec/</t>
  </si>
  <si>
    <t>• Créer template threat model (assets, entry points, mitigations)
• Créer checklist sécurité pre-release
• Appliquer au service principal
• Créer ADR-106 "Security by default"</t>
  </si>
  <si>
    <t>ADR-106 Security by default</t>
  </si>
  <si>
    <t>W137</t>
  </si>
  <si>
    <t>Réviser permissions: réduire, séparer, tracer</t>
  </si>
  <si>
    <t>• Lister 10 permissions trop larges
• Remplacer par policies minimales
• Documenter stratégie assume-role
• Créer runbook "access denied"</t>
  </si>
  <si>
    <t>IAM baseline v2</t>
  </si>
  <si>
    <t>W138</t>
  </si>
  <si>
    <t>Gestion secrets: rotation, scopes, audit</t>
  </si>
  <si>
    <t>• Centraliser secrets (1 source de vérité)
• Mettre rotation (au moins process + test)
• Définir scopes par env
• Créer runbook "secret leak"</t>
  </si>
  <si>
    <t>Runbook secret leak</t>
  </si>
  <si>
    <t>W139</t>
  </si>
  <si>
    <t>Segmentation: SG/NACL + NetworkPolicy (si K8s)</t>
  </si>
  <si>
    <t>• Cartographier flux réseau (service→service, service→DB)
• Appliquer deny-by-default (progressif)
• Ajouter WAF/ingress rules si applicable
• Créer ADR-107 "Network segmentation"</t>
  </si>
  <si>
    <t>ADR-107 Network segmentation</t>
  </si>
  <si>
    <t>W140</t>
  </si>
  <si>
    <t>SBOM, scans deps/images, baseline CI</t>
  </si>
  <si>
    <t>DevOps/DevSecOps Bootcamp.zip</t>
  </si>
  <si>
    <t>• Activer scan deps + scan image en CI
• Générer SBOM (même simple) et archiver
• Bloquer sur vulnérabilités critiques (progressif)
• Créer ADR-108 "Build security"</t>
  </si>
  <si>
    <t>ADR-108 Build security</t>
  </si>
  <si>
    <t>W141</t>
  </si>
  <si>
    <t>A3-M5</t>
  </si>
  <si>
    <t>OPA/Conftest ou règles lint IaC/K8s</t>
  </si>
  <si>
    <t>• Ajouter checks IaC (naming, tags, encryption)
• Ajouter checks K8s (no latest tag, resources set)
• Intégrer au pipeline
• Documenter exceptions</t>
  </si>
  <si>
    <t>Policy checks v1</t>
  </si>
  <si>
    <t>W142</t>
  </si>
  <si>
    <t>Centraliser logs/audit: traçabilité &amp; recherche</t>
  </si>
  <si>
    <t>• Centraliser CloudTrail/cluster audit logs
• Définir rétention &amp; accès
• Créer 5 requêtes d’audit fréquentes
• Créer runbook "audit request"</t>
  </si>
  <si>
    <t>Runbook audit request</t>
  </si>
  <si>
    <t>W143</t>
  </si>
  <si>
    <t>Exercice: clé compromise / token leak</t>
  </si>
  <si>
    <t>• Simuler incident: secret exposé
• Rotation + invalidation + audit
• Mesurer TTR (time to recover)
• Écrire postmortem sécurité</t>
  </si>
  <si>
    <t>Postmortem sécurité</t>
  </si>
  <si>
    <t>W144</t>
  </si>
  <si>
    <t>RTO/RPO réalistes + test backup/restore</t>
  </si>
  <si>
    <t>AWS/Architect/</t>
  </si>
  <si>
    <t>• Définir RTO/RPO cible par composant
• Tester restore DB + redeploy app
• Documenter étapes (runbook)
• Créer ADR-109 "DR targets"</t>
  </si>
  <si>
    <t>ADR-109 DR targets</t>
  </si>
  <si>
    <t>W145</t>
  </si>
  <si>
    <t>A3-M6</t>
  </si>
  <si>
    <t>Automatiser preuves: configs, policies, scans</t>
  </si>
  <si>
    <t>• Créer dossier "evidence" auto (exports CI)
• Capturer versions, scans, policies
• Checklist audit mensuel
• Documenter qui/quoi/quand</t>
  </si>
  <si>
    <t>Pack evidence v1</t>
  </si>
  <si>
    <t>W146</t>
  </si>
  <si>
    <t>Revue accès: qui a quoi, pourquoi</t>
  </si>
  <si>
    <t>• Lister rôles sensibles + owners
• Créer process review mensuel
• Automatiser export permissions (script)
• Runbook "grant/revoke"</t>
  </si>
  <si>
    <t>Process access review</t>
  </si>
  <si>
    <t>W147</t>
  </si>
  <si>
    <t>Sécuriser cluster: RBAC, pod security, images</t>
  </si>
  <si>
    <t>• Revoir RBAC (admins limités)
• Appliquer baseline pod security (ou équivalent)
• Limiter images non signées (si possible)
• Créer ADR-110 "EKS hardening"</t>
  </si>
  <si>
    <t>ADR-110 EKS hardening</t>
  </si>
  <si>
    <t>W148</t>
  </si>
  <si>
    <t>Revue sécurité &amp; conformité intégrées au delivery</t>
  </si>
  <si>
    <t>• Démo: pipeline bloque vulnérabilité critique
• Vérifier runbooks (secret leak, audit, DR)
• Réduire alert fatigue (tuning)
• Mettre à jour portfolio</t>
  </si>
  <si>
    <t>Démo Q2 + portfolio update</t>
  </si>
  <si>
    <t>W149</t>
  </si>
  <si>
    <t>A3-M7</t>
  </si>
  <si>
    <t>Formaliser SLOs, budgets, alert policies</t>
  </si>
  <si>
    <t>DevOps/SRE Bootcamp.zip</t>
  </si>
  <si>
    <t>• Définir SLO par service (latence/erreurs)
• Configurer alertes alignées SLO
• Mettre error budget policy (quand geler features)
• ADR-111 "SLO policy"</t>
  </si>
  <si>
    <t>ADR-111 SLO policy</t>
  </si>
  <si>
    <t>W150</t>
  </si>
  <si>
    <t>Construire un banc de charge reproductible</t>
  </si>
  <si>
    <t>• Créer scripts load test (k6/JMeter)
• Définir scénarios réalistes
• Intégrer au pipeline (nightly)
• Runbook "perf regression"</t>
  </si>
  <si>
    <t>Banc de charge v1</t>
  </si>
  <si>
    <t>W151</t>
  </si>
  <si>
    <t>HPA/cluster autoscaler: seuils &amp; limites</t>
  </si>
  <si>
    <t>• Ajuster requests/limits
• Tester HPA sur charge
• Définir limites max (protection coût)
• ADR-112 "Scaling strategy"</t>
  </si>
  <si>
    <t>ADR-112 Scaling strategy</t>
  </si>
  <si>
    <t>W152</t>
  </si>
  <si>
    <t>Cache HTTP/app/DB: quand et comment</t>
  </si>
  <si>
    <t>• Identifier 2 endpoints chauds
• Ajouter cache (in-app ou edge simple)
• Mesurer gains (latence/cpu)
• Documenter invalidation</t>
  </si>
  <si>
    <t>Perf report v1</t>
  </si>
  <si>
    <t>W153</t>
  </si>
  <si>
    <t>Indexing, connexions, pooling, queries</t>
  </si>
  <si>
    <t>data/</t>
  </si>
  <si>
    <t>• Activer slow query log (si possible)
• Optimiser 2 requêtes
• Ajuster pool connexions
• Runbook "DB saturation"</t>
  </si>
  <si>
    <t>Runbook DB saturation</t>
  </si>
  <si>
    <t>W154</t>
  </si>
  <si>
    <t>A3-M8</t>
  </si>
  <si>
    <t>Pannes contrôlées: instance down, latency injection</t>
  </si>
  <si>
    <t>• Simuler panne pod/node
• Vérifier rollback/auto-heal
• Mesurer impact SLO
• Postmortem chaos</t>
  </si>
  <si>
    <t>Postmortem chaos</t>
  </si>
  <si>
    <t>W155</t>
  </si>
  <si>
    <t>Réduire blast radius: AZ-aware, retries</t>
  </si>
  <si>
    <t>• Configurer AZ awareness (si applicable)
• Revoir timeouts/retries
• Tester dégradation AZ
• ADR-113 "AZ strategy"</t>
  </si>
  <si>
    <t>ADR-113 AZ strategy</t>
  </si>
  <si>
    <t>W156</t>
  </si>
  <si>
    <t>Test reprise: redeploy + restore + validation</t>
  </si>
  <si>
    <t>• Exécuter runbook DR en conditions
• Mesurer RTO/RPO atteints
• Améliorer automation
• Mettre à jour ADR-109</t>
  </si>
  <si>
    <t>DR test report</t>
  </si>
  <si>
    <t>W157</t>
  </si>
  <si>
    <t>Coût par env/service: visibilité &amp; ownership</t>
  </si>
  <si>
    <t>• Créer dashboard coût (par tag)
• Définir seuils par env
• Ajouter alerte sur dérive
• Runbook "cost anomaly"</t>
  </si>
  <si>
    <t>Runbook cost anomaly</t>
  </si>
  <si>
    <t>W158</t>
  </si>
  <si>
    <t>A3-M9</t>
  </si>
  <si>
    <t>Rightsizing, réservations/spot (concept), nettoyage</t>
  </si>
  <si>
    <t>• Identifier top 5 coûts
• Appliquer 3 optimisations simples
• Mesurer avant/après
• ADR-114 "Cost strategy v2"</t>
  </si>
  <si>
    <t>ADR-114 Cost strategy v2</t>
  </si>
  <si>
    <t>W159</t>
  </si>
  <si>
    <t>Automatiser 3 tâches récurrentes</t>
  </si>
  <si>
    <t>DevOps/</t>
  </si>
  <si>
    <t>• Lister toil (top 10)
• Automatiser top 3 (scripts/pipeline)
• Documenter les nouveaux workflows
• Mesurer temps gagné</t>
  </si>
  <si>
    <t>Toil log + actions</t>
  </si>
  <si>
    <t>W160</t>
  </si>
  <si>
    <t>Standardiser traces + dashboards</t>
  </si>
  <si>
    <t>• Définir spans standard (http, db, messaging)
• Créer 3 dashboards tracing
• Ajouter alertes sur latency spikes
• ADR-115 "Tracing standard"</t>
  </si>
  <si>
    <t>ADR-115 Tracing standard</t>
  </si>
  <si>
    <t>W161</t>
  </si>
  <si>
    <t>Revue fiabilité/perf/coût</t>
  </si>
  <si>
    <t>• Démo: load test + scaling + dashboards
• Mettre à jour runbooks (perf, coûts, DB)
• Nettoyer alertes bruyantes
• Mettre à jour portfolio</t>
  </si>
  <si>
    <t>Démo Q3 + portfolio update</t>
  </si>
  <si>
    <t>W162</t>
  </si>
  <si>
    <t>A3-M10</t>
  </si>
  <si>
    <t>Écrire principles: security, reliability, DX, cost</t>
  </si>
  <si>
    <t>• Rédiger doc "Platform Principles" (1-2 pages)
• Lister standards obligatoires (CI, IaC, Observability)
• Créer checklist Design Review
• ADR-116 "Platform principles"</t>
  </si>
  <si>
    <t>ADR-116 Platform principles</t>
  </si>
  <si>
    <t>W163</t>
  </si>
  <si>
    <t>Améliorer templates (service, pipeline, infra)</t>
  </si>
  <si>
    <t>• Ajouter options (REST/event-driven)
• Ajouter tests contractuels de base
• Ajouter policies intégrées
• Documenter versioning templates</t>
  </si>
  <si>
    <t>Templates v2</t>
  </si>
  <si>
    <t>W164</t>
  </si>
  <si>
    <t>Process: revue, critères, exemples de trade-offs</t>
  </si>
  <si>
    <t>• Créer playbook Design Review (30-45 min)
• Créer checklist (perf, cost, security, ops)
• Rédiger 3 exemples d’ADRs bien faites
• Tester sur ton archi</t>
  </si>
  <si>
    <t>Design Review playbook</t>
  </si>
  <si>
    <t>W165</t>
  </si>
  <si>
    <t>Runbooks standard + rotation on-call (même simulée)</t>
  </si>
  <si>
    <t>• Finaliser 10 runbooks (top incidents)
• Créer page "on-call quickstart"
• Exercice incident (60 min)
• Postmortem v4</t>
  </si>
  <si>
    <t>Runbook pack v2</t>
  </si>
  <si>
    <t>W166</t>
  </si>
  <si>
    <t>Onboarding frictionless: docs + scripts</t>
  </si>
  <si>
    <t>• Créer script bootstrap (local + accès)
• Checklist onboarding 1h
• Démo à blanc (time it)
• Améliorer docs</t>
  </si>
  <si>
    <t>Onboarding kit</t>
  </si>
  <si>
    <t>W167</t>
  </si>
  <si>
    <t>A3-M11</t>
  </si>
  <si>
    <t>Préparer 1 atelier (45 min) : GitOps / Observability / IaC</t>
  </si>
  <si>
    <t>• Créer slides/plan atelier
• Créer lab guidé (30 min)
• Créer Q&amp;A / FAQ
• Répéter 1 fois</t>
  </si>
  <si>
    <t>Workshop kit</t>
  </si>
  <si>
    <t>W168</t>
  </si>
  <si>
    <t>Rendre portfolio présentable (README, démo, captures)</t>
  </si>
  <si>
    <t>• Créer page portfolio (liens, captures, schémas)
• Nettoyer repos (scripts, makefile)
• Ajouter vidéo/démo optionnelle
• Mettre CV bullets</t>
  </si>
  <si>
    <t>Portfolio vFinal (draft)</t>
  </si>
  <si>
    <t>W169</t>
  </si>
  <si>
    <t>2 scénarios: SaaS multi-tenant, event-driven</t>
  </si>
  <si>
    <t>• Faire 2 designs en 60 min
• Écrire trade-offs + risques
• Comparer avec ton fil rouge
• Identifier gaps</t>
  </si>
  <si>
    <t>2 designs écrits</t>
  </si>
  <si>
    <t>W170</t>
  </si>
  <si>
    <t>2 scénarios: DR multi-region, platform build</t>
  </si>
  <si>
    <t>• Faire 2 designs en 60 min
• Inclure coûts &amp; ops
• Inclure sécurité &amp; gouvernance
• Auto-review avec checklist</t>
  </si>
  <si>
    <t>2 designs écrits (suite)</t>
  </si>
  <si>
    <t>W171</t>
  </si>
  <si>
    <t>A3-M12</t>
  </si>
  <si>
    <t>Choisir 1 mini-objectif: Security, Networking, Data</t>
  </si>
  <si>
    <t>• Choisir axe secondaire concret
• Plan 6 semaines (léger) pour la spécialité
• Faire 1 POC lié
• Mettre à jour roadmap</t>
  </si>
  <si>
    <t>Plan spécialité (6 semaines)</t>
  </si>
  <si>
    <t>W172</t>
  </si>
  <si>
    <t>Démo 'golden path' + SLO + incident drill</t>
  </si>
  <si>
    <t>• Préparer démo 15 min
• Montrer: créer service→deploy→observe→rollback
• Montrer: coûts/guardrails
• Collecter feedback (auto)</t>
  </si>
  <si>
    <t>Capstone demo</t>
  </si>
  <si>
    <t>W173</t>
  </si>
  <si>
    <t>Aligner avec carrière/job: cible rôle &amp; scope</t>
  </si>
  <si>
    <t>• Définir rôle cible (Architect/Lead Platform)
• Lister compétences manquantes
• Définir 3 projets pro à rechercher
• Mettre à jour backlog</t>
  </si>
  <si>
    <t>Roadmap année suivante</t>
  </si>
  <si>
    <t>W174</t>
  </si>
  <si>
    <t>Bilan, leçons, next steps</t>
  </si>
  <si>
    <t>• Bilan KPI (DX, SLO, coût)
• Mettre portfolio final
• Mettre CV + LinkedIn bullets
• Plan 90 jours pro</t>
  </si>
  <si>
    <t>Bilan + portfolio final</t>
  </si>
  <si>
    <t>Définir objectifs sécurité, risques majeurs, scope</t>
  </si>
  <si>
    <t>• Choisir axe principal + secondaire
• Créer threat model global (1 page)
• Lister top 10 risques (IAM, data, supply chain…)
• Créer backlog sécurité (max 25 items)</t>
  </si>
  <si>
    <t>Threat model global + backlog</t>
  </si>
  <si>
    <t>Least privilege, assume-role, permission boundaries (concept)</t>
  </si>
  <si>
    <t>• Cartographier identités (humains, services)
• Définir conventions rôles (read/admin/break-glass)
• Réduire permissions trop larges (top 5)
• ADR-200 "IAM model"</t>
  </si>
  <si>
    <t>ADR-200 IAM model</t>
  </si>
  <si>
    <t>SSO, OIDC/SAML, MFA, session duration</t>
  </si>
  <si>
    <t>• Documenter modèle auth (SSO vs users locaux)
• Mettre MFA partout
• POC assume-role via OIDC (si possible)
• Runbook "access onboarding/offboarding"</t>
  </si>
  <si>
    <t>Runbook onboarding/offboarding</t>
  </si>
  <si>
    <t>Envelope encryption, key policy vs IAM policy</t>
  </si>
  <si>
    <t>• Activer chiffrement au repos (S3/RDS/Secrets)
• Définir stratégie clés (1 clé par domaine/env)
• Définir rotation (tech/process)
• ADR-201 "Encryption strategy"</t>
  </si>
  <si>
    <t>ADR-201 Encryption strategy</t>
  </si>
  <si>
    <t>Scopes, rotation, audit, break-glass</t>
  </si>
  <si>
    <t>• Centraliser secrets (Secrets Manager/SSM)
• Définir conventions de nommage
• Définir rotation (au moins runbook + test)
• Runbook "secret leaked"</t>
  </si>
  <si>
    <t>Runbook secret leaked</t>
  </si>
  <si>
    <t>CloudTrail, logs applicatifs, rétention</t>
  </si>
  <si>
    <t>• Activer CloudTrail (toutes régions si applicable)
• Définir rétention + accès lecture
• Créer 5 requêtes d’audit fréquentes
• ADR-202 "Audit logging"</t>
  </si>
  <si>
    <t>ADR-202 Audit logging</t>
  </si>
  <si>
    <t>SG/NACL, private subnets, endpoints</t>
  </si>
  <si>
    <t>• Revoir segmentation VPC
• Réduire exposition publique
• Ajouter VPC endpoints (S3/SSM) si pertinent
• Runbook "public exposure"</t>
  </si>
  <si>
    <t>Runbook public exposure</t>
  </si>
  <si>
    <t>RBAC, pod security, admission controls (light)</t>
  </si>
  <si>
    <t>• Réduire admins cluster
• Appliquer baseline pod security
• Forcer images sans 'latest'
• ADR-203 "Cluster baseline"</t>
  </si>
  <si>
    <t>ADR-203 Cluster baseline</t>
  </si>
  <si>
    <t>SCA, container scanning, vuln management</t>
  </si>
  <si>
    <t>• Activer scan deps + scan image en CI
• Définir seuils (block critical)
• Définir process patching hebdo
• Créer tableau de suivi vulnérabilités</t>
  </si>
  <si>
    <t>Process vuln management</t>
  </si>
  <si>
    <t>SBOM, signatures, provenance (concept)</t>
  </si>
  <si>
    <t>• Générer SBOM en CI et archiver
• Ajouter signature image si possible
• Documenter chaîne de build
• ADR-204 "Supply chain"</t>
  </si>
  <si>
    <t>ADR-204 Supply chain</t>
  </si>
  <si>
    <t>Approfondir sur un service clé (entry points)</t>
  </si>
  <si>
    <t>• Faire threat model détaillé (data flows)
• Lister mitigations prioritaires
• Créer 3 tests sécurité (basique)
• Ajouter aux runbooks</t>
  </si>
  <si>
    <t>Threat model service + mitigations</t>
  </si>
  <si>
    <t>Tests sécurité: authZ, input validation, dépendances</t>
  </si>
  <si>
    <t>• Ajouter 3 tests sécurité (authZ, injection basique, rate limit)
• Activer headers sécurité (HSTS, CSP si applicable)
• Ajouter validation input (DTO)
• ADR-215 "Security tests"</t>
  </si>
  <si>
    <t>ADR-215 Security tests</t>
  </si>
  <si>
    <t>Revue baseline sécurité + quick wins</t>
  </si>
  <si>
    <t>• Vérifier MFA/CloudTrail/chiffrement
• Nettoyer permissions larges restantes
• Mettre à jour checklist sécurité
• Mettre portfolio sécurité v1</t>
  </si>
  <si>
    <t>Portfolio sécurité v1</t>
  </si>
  <si>
    <t>Signal vs bruit, priorisation</t>
  </si>
  <si>
    <t>• Définir catégories alertes (crit/haut/moyen)
• Définir canaux + escalade
• Créer runbook "triage"
• ADR-205 "Detection strategy"</t>
  </si>
  <si>
    <t>ADR-205 Detection strategy</t>
  </si>
  <si>
    <t>IR lifecycle: detect→contain→eradicate→recover</t>
  </si>
  <si>
    <t>• Créer playbook IR (1-2 pages)
• Définir rôles (incident commander, scribe…)
• Créer templates postmortem sécurité
• Simuler mini-incident (30 min)</t>
  </si>
  <si>
    <t>Playbook IR + templates</t>
  </si>
  <si>
    <t>Requêtes d’audit prêtes (IAM, S3, network)</t>
  </si>
  <si>
    <t>• Créer 10 requêtes audit
• Documenter quand les utiliser
• Automatiser export hebdo (script)
• Runbook "audit request"</t>
  </si>
  <si>
    <t>Pack requêtes audit</t>
  </si>
  <si>
    <t>Protection L7: WAF, throttling, bot</t>
  </si>
  <si>
    <t>• Configurer rate limiting (API GW/Ingress)
• Ajouter règles basiques WAF (si applicable)
• Tester 2 attaques simples (scan)
• ADR-206 "Perimeter controls"</t>
  </si>
  <si>
    <t>ADR-206 Perimeter controls</t>
  </si>
  <si>
    <t>Stratégie: absorb, scale, protect, communicate</t>
  </si>
  <si>
    <t>• Documenter réponse DDoS (runbook)
• Valider capacity scaling
• Définir communication incident
• Tester throttling</t>
  </si>
  <si>
    <t>Runbook DDoS (light)</t>
  </si>
  <si>
    <t>S3 block public access, policies, encryption</t>
  </si>
  <si>
    <t>• Vérifier block public access
• Appliquer encryption obligatoire
• Créer alertes sur policy changes
• ADR-207 "S3 posture"</t>
  </si>
  <si>
    <t>ADR-207 S3 posture</t>
  </si>
  <si>
    <t>Exercice: secret leak → rotation → validation</t>
  </si>
  <si>
    <t>• Simuler leak
• Rotation + invalidation tokens
• Audit accès et actions
• Postmortem sécurité (drill)</t>
  </si>
  <si>
    <t>Postmortem drill secrets</t>
  </si>
  <si>
    <t>Revue périodique accès sensibles</t>
  </si>
  <si>
    <t>• Lister rôles sensibles
• Automatiser export permissions
• Définir cadence review
• Runbook "grant/revoke"</t>
  </si>
  <si>
    <t>Process access review v2</t>
  </si>
  <si>
    <t>Détecter changements non autorisés</t>
  </si>
  <si>
    <t>• Mettre checks sur IaC drift (plan scheduled)
• Alerter sur ressources non taggées
• Alerter sur security group ouvert
• ADR-208 "Drift detection"</t>
  </si>
  <si>
    <t>ADR-208 Drift detection</t>
  </si>
  <si>
    <t>Runtime policies, least privilege pods</t>
  </si>
  <si>
    <t>• Réduire permissions service accounts
• Activer audit logs kube-apiserver
• Définir baseline network policies
• Runbook "suspicious pod"</t>
  </si>
  <si>
    <t>Runbook suspicious pod</t>
  </si>
  <si>
    <t>Préparer: logs, scopes, rate limits, contacts</t>
  </si>
  <si>
    <t>• Créer checklist pen test readiness
• Vérifier logging + alerting
• Définir scope et exclusions
• Documenter contacts IR</t>
  </si>
  <si>
    <t>Checklist pen test readiness</t>
  </si>
  <si>
    <t>Détection posture: findings, priorisation, remédiation</t>
  </si>
  <si>
    <t>• Activer/Tester un outil posture (ou checks custom) (light)
• Créer workflow triage findings
• Définir SLA remédiation par sévérité
• ADR-216 "Posture management"</t>
  </si>
  <si>
    <t>ADR-216 Posture management</t>
  </si>
  <si>
    <t>Revue détection/réponse + perimeter</t>
  </si>
  <si>
    <t>• Faire 1 incident drill complet (60 min)
• Tuner alerting (réduire bruit)
• Mettre à jour runbooks perimeter
• Portfolio sécurité v2</t>
  </si>
  <si>
    <t>Portfolio sécurité v2</t>
  </si>
  <si>
    <t>Secure coding, headers, authZ, input validation</t>
  </si>
  <si>
    <t>• Activer headers sécurité
• Ajouter validation &amp; error handling
• Revoir authZ (role/permission)
• ADR-209 "AppSec baseline"</t>
  </si>
  <si>
    <t>ADR-209 AppSec baseline</t>
  </si>
  <si>
    <t>SAST en CI + scan dynamique basique</t>
  </si>
  <si>
    <t>• Ajouter SAST (simple) au pipeline
• Faire 1 scan DAST basique
• Trier findings (top 10)
• Créer process remediation</t>
  </si>
  <si>
    <t>Process remediation findings</t>
  </si>
  <si>
    <t>Classifier data, rétention, minimisation</t>
  </si>
  <si>
    <t>• Lister types de données (PII, secrets, business)
• Définir rétention &amp; purge
• Documenter accès &amp; justification
• ADR-210 "Data governance"</t>
  </si>
  <si>
    <t>ADR-210 Data governance</t>
  </si>
  <si>
    <t>Key policy design, separation of duties</t>
  </si>
  <si>
    <t>• Réviser policies KMS
• Séparer admin key vs usage
• Tester rotation
• Runbook "key compromise"</t>
  </si>
  <si>
    <t>Runbook key compromise</t>
  </si>
  <si>
    <t>Chiffrement backups, accès, tests</t>
  </si>
  <si>
    <t>• Vérifier encryption backups
• Limiter accès restore
• Tester restore + audit
• ADR-211 "Backup security"</t>
  </si>
  <si>
    <t>ADR-211 Backup security</t>
  </si>
  <si>
    <t>Micro-segmentation, least privilege network</t>
  </si>
  <si>
    <t>• Cartographier flux (data flows)
• Fermer ports inutiles
• Appliquer deny-by-default progressif
• Runbook "unexpected traffic"</t>
  </si>
  <si>
    <t>Runbook unexpected traffic</t>
  </si>
  <si>
    <t>Réduire duplication secrets + scopes</t>
  </si>
  <si>
    <t>• Inventaire secrets
• Supprimer doublons/obsolètes
• Mettre conventions de rotation
• ADR-212 "Secrets hygiene"</t>
  </si>
  <si>
    <t>ADR-212 Secrets hygiene</t>
  </si>
  <si>
    <t>Non-root, minimal base image, capabilities</t>
  </si>
  <si>
    <t>• Revoir Dockerfiles (non-root, distroless si possible)
• Limiter capabilities
• Mettre policies build
• Documenter best practices</t>
  </si>
  <si>
    <t>Container hardening guide</t>
  </si>
  <si>
    <t>Token lifetimes, refresh, scopes</t>
  </si>
  <si>
    <t>• Revoir expiration tokens
• Ajouter audit auth events
• Tester scénarios abuse
• ADR-213 "Auth strategy"</t>
  </si>
  <si>
    <t>ADR-213 Auth strategy</t>
  </si>
  <si>
    <t>Cartographier contrôles vs preuves</t>
  </si>
  <si>
    <t>• Choisir référentiel (ISO/SOC2 light)
• Mapper 10 contrôles essentiels
• Définir preuves automatiques (CI/logs)
• Créer dossier evidence</t>
  </si>
  <si>
    <t>Compliance mapping v1</t>
  </si>
  <si>
    <t>Faire une revue archi complète (checklist)</t>
  </si>
  <si>
    <t>• Review IAM, network, data, build, ops
• Créer 10 actions prioritaires
• Planifier remédiations
• Mettre à jour threat model</t>
  </si>
  <si>
    <t>Security review report</t>
  </si>
  <si>
    <t>Redaction logs, minimisation, accès, rétention</t>
  </si>
  <si>
    <t>• Identifier champs PII dans logs
• Masquer/redacter (hash/omit)
• Documenter règles de rétention
• ADR-217 "PII handling"</t>
  </si>
  <si>
    <t>ADR-217 PII handling</t>
  </si>
  <si>
    <t>Stabiliser baseline AppSec/workload security</t>
  </si>
  <si>
    <t>• Fermer findings critiques
• Tuner scans (temps + bruit)
• Mettre à jour runbooks clés
• Portfolio sécurité v3</t>
  </si>
  <si>
    <t>Portfolio sécurité v3</t>
  </si>
  <si>
    <t>Standardiser: secure-by-default pour équipes</t>
  </si>
  <si>
    <t>• Créer checklist Design Review sécurité
• Créer baseline "new service" (security)
• Créer ADR-214 "Security standards"
• Diffuser via docs</t>
  </si>
  <si>
    <t>ADR-214 Security standards</t>
  </si>
  <si>
    <t>Améliorer signaux + corrélation</t>
  </si>
  <si>
    <t>• Créer 5 nouvelles détections haute valeur
• Réduire 5 alertes bruyantes
• Créer runbook "false positive"
• Mesurer MTTA/MTTR</t>
  </si>
  <si>
    <t>Detection pack v2</t>
  </si>
  <si>
    <t>Exercice: intrusion simulée → containment → recover</t>
  </si>
  <si>
    <t>• Jouer scénario complet
• Suivre playbook
• Mesurer temps &amp; gaps
• Postmortem IR</t>
  </si>
  <si>
    <t>Postmortem IR</t>
  </si>
  <si>
    <t>Pack: policies, logs, evidence, accès</t>
  </si>
  <si>
    <t>• Assembler preuves (CI scans, logs, configs)
• Créer index evidence
• Créer runbook "audit day"
• Simuler demande auditeur</t>
  </si>
  <si>
    <t>Audit readiness pack</t>
  </si>
  <si>
    <t>Préparer atelier 45 min: IAM/Secrets/Supply chain</t>
  </si>
  <si>
    <t>• Créer plan atelier + lab
• Créer FAQ
• Répéter 1 fois
• Publier docs</t>
  </si>
  <si>
    <t>Workshop sécurité</t>
  </si>
  <si>
    <t>Pipeline complet: scans+SBOM+policies+rollback</t>
  </si>
  <si>
    <t>• Démo pipeline bloque critical vuln
• SBOM archivé + signature
• Policies IaC/K8s enforce
• Docs + runbooks</t>
  </si>
  <si>
    <t>Capstone démo sécurité</t>
  </si>
  <si>
    <t>Pack portfolio: threat models, runbooks, evidence</t>
  </si>
  <si>
    <t>• Rassembler docs + captures
• Mettre CV bullets (impact)
• Mettre plan 90 jours pro
• Identifier gaps</t>
  </si>
  <si>
    <t>Portfolio sécurité final</t>
  </si>
  <si>
    <t>Choisir: AWS Security Specialty / CKS (optionnel)</t>
  </si>
  <si>
    <t>• Décider si certif utile pour job
• Plan 6 semaines (léger)
• Faire 1 mock exam
• POC service security feature</t>
  </si>
  <si>
    <t>Plan certif (optionnel)</t>
  </si>
  <si>
    <t>SCP, séparation duties, comptes prod/non-prod</t>
  </si>
  <si>
    <t>• Définir modèle comptes (prod/non-prod/security/logging)
• Lister 10 guardrails (interdictions) utiles
• Documenter break-glass process
• ADR-218 "Guardrails"</t>
  </si>
  <si>
    <t>ADR-218 Guardrails</t>
  </si>
  <si>
    <t>KPIs: vuln age, MTTA/MTTR, coverage scans, access reviews</t>
  </si>
  <si>
    <t>• Définir 6 KPIs sécurité
• Créer tableau de bord / doc mensuel
• Définir objectifs 90 jours
• Documenter comment mesurer</t>
  </si>
  <si>
    <t>Security KPI dashboard</t>
  </si>
  <si>
    <t>Savoir reviewer: IAM, data, network, ops, cost</t>
  </si>
  <si>
    <t>• Faire 3 security design reviews (sur ton archi + 2 cas fictifs)
• Écrire recommandations &amp; trade-offs
• Créer checklist finale review
• Mettre dans portail docs</t>
  </si>
  <si>
    <t>Checklist review sécurité vFinal</t>
  </si>
  <si>
    <t>Choisir rôle cible + projets pro à viser</t>
  </si>
  <si>
    <t>• Définir rôle (Security Architect/Lead)
• Lister compétences manquantes
• Définir 3 initiatives pro
• Mettre à jour roadmap</t>
  </si>
  <si>
    <t>Bilan &amp; next steps</t>
  </si>
  <si>
    <t>• Bilan des incidents/drills
• Mettre portfolio final
• Mettre checklist standards vFinal
• Plan 90 jours</t>
  </si>
  <si>
    <t>Bilan + standards final</t>
  </si>
  <si>
    <t>Définir objectifs: simplicité, sécurité, performance, évolutivité</t>
  </si>
  <si>
    <t>• Choisir axe principal + secondaire
• Créer diagramme réseau actuel (C4 infra)
• Lister 10 problèmes réseau fréquents (prod)
• Backlog réseau (max 25 items)</t>
  </si>
  <si>
    <t>Diagramme réseau baseline + backlog</t>
  </si>
  <si>
    <t>Plan d’adressage: tailles, réserves, croissance</t>
  </si>
  <si>
    <t>• Définir plan CIDR (par env/compte)
• Réserver plages futures
• Documenter conventions subnets (public/private/data)
• ADR-300 "IP plan"</t>
  </si>
  <si>
    <t>ADR-300 IP plan</t>
  </si>
  <si>
    <t>Route tables, IGW/NAT, propagation, troubleshooting</t>
  </si>
  <si>
    <t>• Créer 3 scénarios routing (public, private egress, no-internet)
• Tester connectivity (curl, traceroute) via SSM
• Documenter 5 pannes typiques NAT/RT
• Runbook "no egress"</t>
  </si>
  <si>
    <t>Runbook no egress</t>
  </si>
  <si>
    <t>Stateful vs stateless, patterns segmentation</t>
  </si>
  <si>
    <t>• Définir patterns SG (app↔db, app↔cache)
• Limiter inbound au strict nécessaire
• Documenter usage NACL (rare, cas d’école)
• ADR-301 "Segmentation L3/L4"</t>
  </si>
  <si>
    <t>ADR-301 Segmentation L3/L4</t>
  </si>
  <si>
    <t>Gateway vs Interface endpoints, DNS, coûts</t>
  </si>
  <si>
    <t>• Ajouter endpoint S3/SSM (si pertinent)
• Vérifier DNS resolution
• Mesurer impact sur egress/cost
• ADR-302 "Private endpoints"</t>
  </si>
  <si>
    <t>ADR-302 Private endpoints</t>
  </si>
  <si>
    <t>Route53 private hosted zones, split-horizon</t>
  </si>
  <si>
    <t>• Créer zone privée (POC)
• Définir naming interne
• Tester résolution cross-subnet
• Runbook "DNS outage"</t>
  </si>
  <si>
    <t>Runbook DNS outage</t>
  </si>
  <si>
    <t>ALB/NLB, health checks, idle timeout</t>
  </si>
  <si>
    <t>• Comparer ALB vs NLB (cas d’usage)
• Configurer health checks robustes
• Tester timeouts (idle, keep-alive)
• ADR-303 "LB strategy"</t>
  </si>
  <si>
    <t>ADR-303 LB strategy</t>
  </si>
  <si>
    <t>Service, Ingress, NodePort, external-dns (concept)</t>
  </si>
  <si>
    <t>• Cartographier flux K8s (ingress→svc→pod)
• Configurer ingress + TLS (si possible)
• Documenter ports/protocols
• Runbook "ingress 404/502"</t>
  </si>
  <si>
    <t>Runbook ingress 404/502</t>
  </si>
  <si>
    <t>VPC flow logs, LB logs, métriques</t>
  </si>
  <si>
    <t>• Activer VPC Flow Logs (sur 1 subnet)
• Activer ALB access logs (si applicable)
• Créer 5 requêtes (top talkers, denied)
• ADR-304 "Network observability"</t>
  </si>
  <si>
    <t>ADR-304 Network observability</t>
  </si>
  <si>
    <t>Comprendre RTT, TLS handshake, keep-alive</t>
  </si>
  <si>
    <t>• Mesurer latence end-to-end (baseline)
• Optimiser keep-alive/timeouts
• Documenter 5 causes fréquentes latence
• Runbook "latency triage"</t>
  </si>
  <si>
    <t>Runbook latency triage</t>
  </si>
  <si>
    <t>Revue ports, exposure, least privilege</t>
  </si>
  <si>
    <t>• Lister surfaces publiques
• Fermer ports inutiles
• Vérifier WAF/rate limiting (si web)
• Rapport de revue (10 actions)</t>
  </si>
  <si>
    <t>Network security review report</t>
  </si>
  <si>
    <t>Boîte à outils debug réseau (local/K8s/EC2)</t>
  </si>
  <si>
    <t>• Créer cheat sheet commandes (tcpdump, ss, dig, curl)
• POC capture trafic (local ou pod)
• Documenter 5 patterns d’erreur (RST, timeout, DNS NXDOMAIN)
• Runbook "packet-level triage"</t>
  </si>
  <si>
    <t>Cheat sheet troubleshooting réseau</t>
  </si>
  <si>
    <t>Démo: connectivité privée + logs réseau + runbooks</t>
  </si>
  <si>
    <t>Docs/Année3/AxeC</t>
  </si>
  <si>
    <t>• Démo: endpoint privé + pas d’egress internet
• Montrer VPC Flow Logs queries
• Valider runbooks (DNS, egress, ingress)
• Mettre à jour portfolio réseau v1</t>
  </si>
  <si>
    <t>Portfolio réseau v1</t>
  </si>
  <si>
    <t>Trade-offs: scale, routing, ops</t>
  </si>
  <si>
    <t>• Comparer peering vs TGW (tableau)
• POC simple (peering ou TGW) si possible
• Documenter limitations (CIDR overlap, routing)
• ADR-305 "Connectivity pattern"</t>
  </si>
  <si>
    <t>ADR-305 Connectivity pattern</t>
  </si>
  <si>
    <t>Attachments, route tables, segmentation</t>
  </si>
  <si>
    <t>• Définir segments (shared services, prod, non-prod)
• Documenter routing TGW
• Tester propagation vs static routes
• Runbook "TGW routing"</t>
  </si>
  <si>
    <t>Runbook TGW routing</t>
  </si>
  <si>
    <t>IPSec, BGP, failover, monitoring</t>
  </si>
  <si>
    <t>• Documenter architecture VPN
• Définir monitoring (tunnels up/down)
• Définir plan de bascule
• ADR-306 "VPN strategy"</t>
  </si>
  <si>
    <t>ADR-306 VPN strategy</t>
  </si>
  <si>
    <t>Use cases, resilience, routing</t>
  </si>
  <si>
    <t>• Comprendre DX vs VPN
• Définir archi HA (2 locations)
• Documenter coûts &amp; délais (concept)
• ADR-307 "Hybrid connectivity"</t>
  </si>
  <si>
    <t>ADR-307 Hybrid connectivity</t>
  </si>
  <si>
    <t>Shared services VPC, hub-spoke</t>
  </si>
  <si>
    <t>• Dessiner hub-spoke
• Définir shared services (DNS, logging)
• Définir segmentation par compte
• ADR-308 "Network org"</t>
  </si>
  <si>
    <t>ADR-308 Network org</t>
  </si>
  <si>
    <t>Egress filtering, allow lists, costs</t>
  </si>
  <si>
    <t>• Définir politique egress
• Tester egress via NAT + security rules
• Mesurer coûts NAT vs endpoints
• Runbook "egress blocked"</t>
  </si>
  <si>
    <t>Runbook egress blocked</t>
  </si>
  <si>
    <t>Expose service privately (concept)</t>
  </si>
  <si>
    <t>• Comprendre PrivateLink use cases
• Dessiner POC architecture
• Définir DNS &amp; access controls
• ADR-309 "Private service exposure"</t>
  </si>
  <si>
    <t>ADR-309 Private service exposure</t>
  </si>
  <si>
    <t>Peering inter-region, latency, routing</t>
  </si>
  <si>
    <t>• Dessiner archi cross-region
• Mesurer latence approximative (concept)
• Définir use case (DR, active-active)
• ADR-310 "Cross-region networking"</t>
  </si>
  <si>
    <t>ADR-310 Cross-region networking</t>
  </si>
  <si>
    <t>Centralized inspection, east-west controls</t>
  </si>
  <si>
    <t>• Définir où mettre inspection (hub)
• Lister flux à inspecter
• Documenter trade-offs perf/coût
• Runbook "blocked by firewall"</t>
  </si>
  <si>
    <t>Runbook firewall block</t>
  </si>
  <si>
    <t>Modules réseau: réutilisables, testables</t>
  </si>
  <si>
    <t>• Modulariser réseau (vpc/subnets/rt/endpoints)
• Ajouter validations (tags, cidr)
• Mettre tests plan (CI)
• ADR-311 "Network IaC"</t>
  </si>
  <si>
    <t>ADR-311 Network IaC</t>
  </si>
  <si>
    <t>Méthodes: tcpdump, flow logs, dns, routes</t>
  </si>
  <si>
    <t>• Simuler 5 pannes réseau (DNS, SG, RT, NACL, endpoint)
• Écrire checklist debug
• Automatiser diagnostics (script)
• Mettre runbooks à jour</t>
  </si>
  <si>
    <t>Checklist debug réseau</t>
  </si>
  <si>
    <t>Résolution DNS hybride, forwarders, split-horizon</t>
  </si>
  <si>
    <t>• Dessiner archi resolver (inbound/outbound) (concept)
• Définir règles forwarding
• Lister risques (boucles, latence)
• ADR-319 "DNS hybrid"</t>
  </si>
  <si>
    <t>ADR-319 DNS hybrid</t>
  </si>
  <si>
    <t>Démo: hub-spoke + segmentation + IaC</t>
  </si>
  <si>
    <t>• Démo diagramme target network org
• Montrer module réseau IaC
• Montrer runbooks TGW/egress
• Portfolio réseau v2</t>
  </si>
  <si>
    <t>Portfolio réseau v2</t>
  </si>
  <si>
    <t>CDN, caching headers, invalidation</t>
  </si>
  <si>
    <t>• Définir endpoints cacheables
• Configurer cache (concept/POC)
• Mesurer gains latence
• ADR-312 "Edge caching"</t>
  </si>
  <si>
    <t>ADR-312 Edge caching</t>
  </si>
  <si>
    <t>Route53 routing (latency/weighted/failover)</t>
  </si>
  <si>
    <t>• Comparer types de routing
• Dessiner archi multi-region DNS
• Définir health checks
• ADR-313 "Global routing"</t>
  </si>
  <si>
    <t>ADR-313 Global routing</t>
  </si>
  <si>
    <t>TLS termination, cert rotation, mTLS concept</t>
  </si>
  <si>
    <t>• Standardiser termination TLS (ALB/Ingress)
• Documenter rotation certificats
• POC mTLS service-to-service (option)
• Runbook "cert expired"</t>
  </si>
  <si>
    <t>Runbook cert expired</t>
  </si>
  <si>
    <t>Keep-alive, compression, HTTP/2, timeouts</t>
  </si>
  <si>
    <t>• Activer compression si utile
• Ajuster timeouts client/server
• Tester HTTP/2 (si possible)
• Rapport perf (avant/après)</t>
  </si>
  <si>
    <t>Perf report HTTP</t>
  </si>
  <si>
    <t>Quand mesh vaut le coût</t>
  </si>
  <si>
    <t>• Comparer mesh vs pas mesh (tableau)
• Lister besoins (mTLS, retries, telemetry)
• Décider (ADR) pour ton contexte
• ADR-314 "Mesh decision"</t>
  </si>
  <si>
    <t>ADR-314 Mesh decision</t>
  </si>
  <si>
    <t>Deny-by-default, east-west control</t>
  </si>
  <si>
    <t>• Cartographier flux pod→pod
• Appliquer policies basiques
• Tester régressions
• Runbook "network policy break"</t>
  </si>
  <si>
    <t>Runbook network policy break</t>
  </si>
  <si>
    <t>Backpressure, connection pools, LB queues</t>
  </si>
  <si>
    <t>• Mesurer saturation (CPU/mem/conns)
• Ajuster pools &amp; limits
• Définir alertes saturation
• ADR-315 "Backpressure"</t>
  </si>
  <si>
    <t>ADR-315 Backpressure</t>
  </si>
  <si>
    <t>Limiter, protéger, QoS</t>
  </si>
  <si>
    <t>• Mettre rate limit (gateway/ingress)
• Définir quotas par client (si SaaS)
• Tester scénarios abuse
• Runbook "rate limit"</t>
  </si>
  <si>
    <t>Runbook rate limit</t>
  </si>
  <si>
    <t>Plan DR: networking cutover</t>
  </si>
  <si>
    <t>• Dessiner failover réseau
• Préparer scripts IaC pour région secondaire
• Tester DNS failover (POC)
• ADR-316 "Network DR"</t>
  </si>
  <si>
    <t>ADR-316 Network DR</t>
  </si>
  <si>
    <t>Coûts NAT, data transfer, endpoints</t>
  </si>
  <si>
    <t>• Identifier coûts data transfer
• Optimiser (endpoints vs NAT)
• Documenter règles de design anti-coût
• ADR-317 "Network cost"</t>
  </si>
  <si>
    <t>ADR-317 Network cost</t>
  </si>
  <si>
    <t>Debug CDN/DNS/TLS</t>
  </si>
  <si>
    <t>• Simuler 3 incidents (DNS, TLS, cache)
• Écrire runbooks correspondants
• Créer checklist debug edge
• Mettre docs à jour</t>
  </si>
  <si>
    <t>Runbooks edge (DNS/TLS/cache)</t>
  </si>
  <si>
    <t>Accélération, anycast, failover global</t>
  </si>
  <si>
    <t>• Comparer GA vs CloudFront vs DNS latency routing
• Dessiner use-case (API globale)
• Définir health checks et cutover
• ADR-320 "Global entry"</t>
  </si>
  <si>
    <t>ADR-320 Global entry</t>
  </si>
  <si>
    <t>Démo: routing global + cache + DR network</t>
  </si>
  <si>
    <t>• Démo architecture multi-region (sur papier/POC)
• Montrer runbooks edge
• Montrer ADRs réseau
• Portfolio réseau v3</t>
  </si>
  <si>
    <t>Portfolio réseau v3</t>
  </si>
  <si>
    <t>Écrire standards: cidr, segmentation, endpoints, dns</t>
  </si>
  <si>
    <t>• Créer doc "Network Standards"
• Créer checklist design review réseau
• ADR-318 "Network standards"
• Publier dans portail docs</t>
  </si>
  <si>
    <t>ADR-318 Network standards</t>
  </si>
  <si>
    <t>Tests: unit/plan assertions</t>
  </si>
  <si>
    <t>• Ajouter validations CIDR/tags
• Ajouter tests plan (OPA/Conftest light)
• CI sur modules réseau
• Runbook "IaC apply failure"</t>
  </si>
  <si>
    <t>Runbook IaC apply failure</t>
  </si>
  <si>
    <t>Design: on-prem→AWS migration + connectivity</t>
  </si>
  <si>
    <t>• Faire 2 designs en 60 min
• Inclure DX/VPN + HA
• Inclure sécurité &amp; ops
• Auto-review checklist</t>
  </si>
  <si>
    <t>2 designs hybrid écrits</t>
  </si>
  <si>
    <t>Design: multi-account + hub-spoke + shared services</t>
  </si>
  <si>
    <t>• Faire 2 designs en 60 min
• Inclure TGW + segmentation
• Inclure logs/audit
• Auto-review checklist</t>
  </si>
  <si>
    <t>2 designs network org écrits</t>
  </si>
  <si>
    <t>Exercice: outage NAT/DNS/LB + recovery</t>
  </si>
  <si>
    <t>• Jouer incident 60-90 min
• Suivre runbooks
• Mesurer MTTR
• Postmortem réseau</t>
  </si>
  <si>
    <t>Postmortem réseau</t>
  </si>
  <si>
    <t>Assembler ADRs, runbooks, designs</t>
  </si>
  <si>
    <t>• Rassembler schémas + ADRs
• Mettre CV bullets (impact perf/cost)
• Créer page portfolio réseau
• Identifier gaps</t>
  </si>
  <si>
    <t>Portfolio réseau final</t>
  </si>
  <si>
    <t>Choisir: Advanced Networking Specialty (optionnel)</t>
  </si>
  <si>
    <t>AWS/DevOps/</t>
  </si>
  <si>
    <t>• Décider si certif utile
• Plan 6 semaines (léger)
• Faire 1 mock exam
• Faire 1 POC réseau avancé</t>
  </si>
  <si>
    <t>Exercice: failover DNS + routes + validation</t>
  </si>
  <si>
    <t>• Jouer scénario DR réseau (cutover)
• Mesurer temps de bascule
• Identifier dépendances cachées
• Postmortem game day</t>
  </si>
  <si>
    <t>Postmortem game day réseau</t>
  </si>
  <si>
    <t>Empêcher dépenses: NAT, data transfer, endpoints</t>
  </si>
  <si>
    <t>• Créer règles: pas de NAT inutile, endpoints préférés
• Créer alerte sur data transfer spikes
• Créer checklist design anti-coût
• Documenter exceptions</t>
  </si>
  <si>
    <t>Network cost guardrails v2</t>
  </si>
  <si>
    <t>Créer un atelier 45 min: VPC/routing/troubleshoot</t>
  </si>
  <si>
    <t>• Créer plan atelier + lab guidé
• Créer FAQ
• Répéter 1 fois
• Publier docs</t>
  </si>
  <si>
    <t>Workshop réseau</t>
  </si>
  <si>
    <t>3 scénarios: multi-region, hybrid, zero trust network</t>
  </si>
  <si>
    <t>• Faire 3 designs en 60 min
• Écrire trade-offs (latence/coût/sécu)
• Auto-review checklist
• Identifier gaps</t>
  </si>
  <si>
    <t>3 designs réseau écrits</t>
  </si>
  <si>
    <t>Cibler rôle &amp; projets pro (hybrid/network)</t>
  </si>
  <si>
    <t>• Définir rôle cible (Network/Cloud Architect)
• Lister manques
• Définir 3 initiatives pro
• Mettre à jour roadmap</t>
  </si>
  <si>
    <t>• Bilan (incidents, perf, coûts)
• Mettre portfolio final
• Mettre standards final
• Plan 90 jours</t>
  </si>
  <si>
    <t>Définir domaine data, objectifs (latence, fiabilité, gouvernance)</t>
  </si>
  <si>
    <t>Dev/kafka/</t>
  </si>
  <si>
    <t>• Choisir axe principal + secondaire
• Définir domaines événements (event storming light)
• Lister 10 événements métiers clés
• Backlog streaming (max 25 items)</t>
  </si>
  <si>
    <t>Event map + backlog</t>
  </si>
  <si>
    <t>Conventions events: noms, versions, headers</t>
  </si>
  <si>
    <t>• Définir naming topics/events
• Définir headers standard (correlation-id, causation-id)
• Définir structure payload
• ADR-400 "Event standards"</t>
  </si>
  <si>
    <t>ADR-400 Event standards</t>
  </si>
  <si>
    <t>Compatibilité backward/forward, evolution</t>
  </si>
  <si>
    <t>• Choisir schema format (JSON/Avro/Protobuf)
• Définir règles compatibilité
• Créer 3 exemples d’évolution
• ADR-401 "Schema evolution"</t>
  </si>
  <si>
    <t>ADR-401 Schema evolution</t>
  </si>
  <si>
    <t>Acks, retries, idempotence, ordering</t>
  </si>
  <si>
    <t>• Configurer producer fiable (acks/retries/idempotence)
• Ajouter tests d’envoi (failure cases)
• Définir stratégie partitioning (key)
• Runbook "producer errors"</t>
  </si>
  <si>
    <t>Runbook producer errors</t>
  </si>
  <si>
    <t>Offsets, retry, DLQ, poison messages</t>
  </si>
  <si>
    <t>• Implémenter retry policy + DLQ
• Gérer poison messages (idempotence)
• Ajouter métriques lag + error rate
• Runbook "consumer lag"</t>
  </si>
  <si>
    <t>Runbook consumer lag</t>
  </si>
  <si>
    <t>Transactional outbox + publication fiable</t>
  </si>
  <si>
    <t>Archi/</t>
  </si>
  <si>
    <t>• Implémenter outbox sur un service
• Assurer idempotence publication
• Ajouter monitoring outbox backlog
• ADR-402 "Outbox"</t>
  </si>
  <si>
    <t>ADR-402 Outbox</t>
  </si>
  <si>
    <t>Transactions distribuées, compensations</t>
  </si>
  <si>
    <t>• POC mini-saga 2 services
• Définir compensations
• Tester failure cases
• ADR-403 "Saga choice"</t>
  </si>
  <si>
    <t>ADR-403 Saga choice</t>
  </si>
  <si>
    <t>Stratégies version: topic, field, wrapper</t>
  </si>
  <si>
    <t>• Créer stratégie versioning
• Tester consumer old/new
• Documenter deprecation policy
• Runbook "schema break"</t>
  </si>
  <si>
    <t>Runbook schema break</t>
  </si>
  <si>
    <t>Keys, hot partitions, rebalancing</t>
  </si>
  <si>
    <t>• Analyser risque hot partitions
• Définir clés de partition
• Ajouter métriques distribution
• ADR-404 "Partitioning"</t>
  </si>
  <si>
    <t>ADR-404 Partitioning</t>
  </si>
  <si>
    <t>Lag, throughput, errors, DLQ metrics</t>
  </si>
  <si>
    <t>• Créer dashboard streaming (lag, rate, errors)
• Créer 5 alertes utiles
• Runbook "DLQ spike"
• Définir SLO streaming</t>
  </si>
  <si>
    <t>Dashboard streaming v1</t>
  </si>
  <si>
    <t>ACL, authN, encryption in transit</t>
  </si>
  <si>
    <t>• Définir qui peut publier/consommer
• Configurer ACL (concept ou réel)
• Définir encryption in transit
• ADR-405 "Streaming security"</t>
  </si>
  <si>
    <t>ADR-405 Streaming security</t>
  </si>
  <si>
    <t>Tester compatibilité producer/consumer via contrats</t>
  </si>
  <si>
    <t>• Écrire 2 contract tests (producer/consumer)
• Automatiser en CI
• Définir règles breaking change
• ADR-421 "Contract testing"</t>
  </si>
  <si>
    <t>ADR-421 Contract testing</t>
  </si>
  <si>
    <t>Démo: outbox→kafka→consumer + observabilité</t>
  </si>
  <si>
    <t>Docs/Année3/AxeD</t>
  </si>
  <si>
    <t>• Démo end-to-end (happy + failure)
• Montrer lag dashboard + DLQ
• Valider runbooks
• Portfolio data v1</t>
  </si>
  <si>
    <t>Portfolio data v1</t>
  </si>
  <si>
    <t>CDC, Debezium-like, use cases</t>
  </si>
  <si>
    <t>• Choisir source CDC (DB tables)
• POC extraction (simple) ou design
• Définir garanties (at-least-once)
• ADR-406 "CDC"</t>
  </si>
  <si>
    <t>ADR-406 CDC</t>
  </si>
  <si>
    <t>Streams/ksql patterns (windowing, joins)</t>
  </si>
  <si>
    <t>• Définir 2 use cases (aggregation, enrichment)
• POC stream processing (simple)
• Définir state store &amp; retention
• Runbook "processor lag"</t>
  </si>
  <si>
    <t>Runbook processor lag</t>
  </si>
  <si>
    <t>Partitions, formats, catalog</t>
  </si>
  <si>
    <t>• Définir structure S3 (raw/curated)
• Choisir format (parquet) (concept ok)
• Définir partitions
• ADR-407 "Lake layout"</t>
  </si>
  <si>
    <t>ADR-407 Lake layout</t>
  </si>
  <si>
    <t>Catalog metadata, query patterns, cost</t>
  </si>
  <si>
    <t>• Définir tables et partitions
• Estimer coûts query
• Définir policies accès
• Runbook "query cost spike"</t>
  </si>
  <si>
    <t>Runbook query cost spike</t>
  </si>
  <si>
    <t>Quand batch suffit; quand streaming</t>
  </si>
  <si>
    <t>• Comparer 3 cas (batch/stream/hybride)
• Définir SLA latence pour use cases
• Choisir architecture cible
• ADR-408 "Batch vs stream"</t>
  </si>
  <si>
    <t>ADR-408 Batch vs stream</t>
  </si>
  <si>
    <t>Contracts, ownership, breaking changes</t>
  </si>
  <si>
    <t>• Définir contrat par domain
• Définir process change
• Ajouter tests contractuels (simple)
• ADR-409 "Data contracts"</t>
  </si>
  <si>
    <t>ADR-409 Data contracts</t>
  </si>
  <si>
    <t>Exactly-once illusions, dedup strategies</t>
  </si>
  <si>
    <t>• Mettre dedup key sur consumer
• Tester replay scenario
• Documenter garanties end-to-end
• ADR-410 "Delivery guarantees"</t>
  </si>
  <si>
    <t>ADR-410 Delivery guarantees</t>
  </si>
  <si>
    <t>Retention topics, compaction, archive</t>
  </si>
  <si>
    <t>• Définir retention par topic
• Définir compaction si besoin
• Définir archive (S3) concept
• Runbook "storage pressure"</t>
  </si>
  <si>
    <t>Runbook storage pressure</t>
  </si>
  <si>
    <t>Indexing events for search/analytics</t>
  </si>
  <si>
    <t>Dev/Elasticsearch/</t>
  </si>
  <si>
    <t>• Choisir 1 index use case
• POC ingestion events → index
• Définir mapping &amp; retention
• ADR-411 "Search analytics"</t>
  </si>
  <si>
    <t>ADR-411 Search analytics</t>
  </si>
  <si>
    <t>Row-level access (concept), encryption, auditing</t>
  </si>
  <si>
    <t>• Définir classification données
• Définir accès par rôle
• Définir audit logs
• ADR-412 "Data access"</t>
  </si>
  <si>
    <t>ADR-412 Data access</t>
  </si>
  <si>
    <t>Quality checks, anomalies, freshness</t>
  </si>
  <si>
    <t>DS/</t>
  </si>
  <si>
    <t>• Définir 5 checks qualité (null, ranges, duplicates)
• Créer alertes qualité (simple)
• Définir ownership remédiation
• Runbook "data anomaly"</t>
  </si>
  <si>
    <t>Runbook data anomaly</t>
  </si>
  <si>
    <t>Lifecycle policies, compaction, lake partitions</t>
  </si>
  <si>
    <t>• Optimiser partitions (S3/lake) concept/POC
• Définir lifecycle (archive/expire)
• Mesurer impact coûts (estimations)
• ADR-422 "Data lifecycle"</t>
  </si>
  <si>
    <t>ADR-422 Data lifecycle</t>
  </si>
  <si>
    <t>Démo: pipeline events→lake/query + contracts</t>
  </si>
  <si>
    <t>• Démo pipeline (POC ok) + coûts
• Montrer data contracts + tests
• Montrer runbooks (cost spike, anomaly)
• Portfolio data v2</t>
  </si>
  <si>
    <t>Portfolio data v2</t>
  </si>
  <si>
    <t>SLOs: lag, delivery time, availability</t>
  </si>
  <si>
    <t>• Définir SLO streaming par topic
• Configurer alertes alignées SLO
• Définir error budget policy
• ADR-413 "Streaming SLO"</t>
  </si>
  <si>
    <t>ADR-413 Streaming SLO</t>
  </si>
  <si>
    <t>Tracer sources → transformations → sinks</t>
  </si>
  <si>
    <t>• Dessiner lineage 1 use case
• Documenter owners et SLAs
• Définir metadata minimal
• ADR-414 "Lineage"</t>
  </si>
  <si>
    <t>ADR-414 Lineage</t>
  </si>
  <si>
    <t>Process création topics, quotas, naming</t>
  </si>
  <si>
    <t>• Créer process self-service (form/template)
• Définir quotas (partitions, retention)
• Automatiser provisioning (script)
• ADR-415 "Topic governance"</t>
  </si>
  <si>
    <t>ADR-415 Topic governance</t>
  </si>
  <si>
    <t>Compat modes, access, backups</t>
  </si>
  <si>
    <t>• Définir modes compatibilité
• Définir access control
• Définir backup/restore (concept)
• Runbook "registry down"</t>
  </si>
  <si>
    <t>Runbook registry down</t>
  </si>
  <si>
    <t>Diagnostiquer hotspots et scaling</t>
  </si>
  <si>
    <t>• Mesurer distribution keys
• Réduire hot partitions (change key, add partitions)
• Tester throughput
• ADR-416 "Throughput scaling"</t>
  </si>
  <si>
    <t>ADR-416 Throughput scaling</t>
  </si>
  <si>
    <t>Cooperative rebalancing, assignment</t>
  </si>
  <si>
    <t>• Tester rebalancing scenario
• Optimiser session timeout/max poll
• Documenter best practices
• Runbook "rebalance storm"</t>
  </si>
  <si>
    <t>Runbook rebalance storm</t>
  </si>
  <si>
    <t>Retry topics, DLQ, reprocessing</t>
  </si>
  <si>
    <t>• Définir stratégie DLQ (per topic vs shared)
• Créer outil reprocess (script)
• Ajouter observability DLQ
• ADR-417 "DLQ strategy"</t>
  </si>
  <si>
    <t>ADR-417 DLQ strategy</t>
  </si>
  <si>
    <t>ACL by tenant, isolation, quotas</t>
  </si>
  <si>
    <t>• Définir modèle tenant→topics
• Définir ACL patterns
• Définir quotas tenants
• ADR-418 "Multi-tenant streaming"</t>
  </si>
  <si>
    <t>ADR-418 Multi-tenant streaming</t>
  </si>
  <si>
    <t>Coûts partitions, retention, storage</t>
  </si>
  <si>
    <t>• Identifier top coûts (storage, transfer)
• Optimiser retention/compaction
• Créer dashboard coûts data
• ADR-419 "Streaming FinOps"</t>
  </si>
  <si>
    <t>ADR-419 Streaming FinOps</t>
  </si>
  <si>
    <t>Exercice: broker down/lag spike</t>
  </si>
  <si>
    <t>• Simuler incident (lag spike)
• Suivre runbook
• Mesurer MTTR
• Postmortem streaming</t>
  </si>
  <si>
    <t>Postmortem streaming</t>
  </si>
  <si>
    <t>Design: event-driven order system + analytics</t>
  </si>
  <si>
    <t>• 1 design en 60 min
• Inclure contracts + governance
• Inclure SLO + ops
• Auto-review checklist</t>
  </si>
  <si>
    <t>Design data #1 écrit</t>
  </si>
  <si>
    <t>Process incidents data: anomalies, backfills, comms</t>
  </si>
  <si>
    <t>• Créer runbook "data incident"
• Définir communication (stakeholders)
• Définir backfill/replay process
• Postmortem template data</t>
  </si>
  <si>
    <t>Runbook data incident</t>
  </si>
  <si>
    <t>Démo: governance + SLO + incident drill</t>
  </si>
  <si>
    <t>• Démo: self-service topic + policies
• Montrer dashboards SLO
• Montrer postmortem drill
• Portfolio data v3</t>
  </si>
  <si>
    <t>Portfolio data v3</t>
  </si>
  <si>
    <t>Standards: events, schemas, retention, DLQ, SLO</t>
  </si>
  <si>
    <t>• Créer doc "Data/Streaming Standards"
• Créer checklist design review data
• ADR-420 "Data standards"
• Publier dans portail docs</t>
  </si>
  <si>
    <t>ADR-420 Data standards</t>
  </si>
  <si>
    <t>Automatiser topics + ACL + quotas</t>
  </si>
  <si>
    <t>• Créer module provisioning topics (concept/POC)
• Intégrer à CI/CD
• Ajouter validations
• Runbook "provision failure"</t>
  </si>
  <si>
    <t>Runbook provision failure</t>
  </si>
  <si>
    <t>Produit: events→processing→lake→dashboard</t>
  </si>
  <si>
    <t>• Définir use case complet
• Implémenter/POC pipeline
• Mettre SLO + alertes
• Docs + démo</t>
  </si>
  <si>
    <t>Capstone data product</t>
  </si>
  <si>
    <t>Atelier 45 min: contracts + DLQ + SLO</t>
  </si>
  <si>
    <t>• Créer plan + lab guidé
• Créer FAQ
• Répéter 1 fois
• Publier docs</t>
  </si>
  <si>
    <t>Workshop data streaming</t>
  </si>
  <si>
    <t>3 scénarios: multi-tenant, CDC, real-time analytics</t>
  </si>
  <si>
    <t>• Faire 3 designs en 60 min
• Inclure trade-offs coût/latence
• Inclure gouvernance
• Identifier gaps</t>
  </si>
  <si>
    <t>3 designs data écrits</t>
  </si>
  <si>
    <t>Assembler standards, ADRs, runbooks, designs</t>
  </si>
  <si>
    <t>• Rassembler docs + schémas
• Mettre CV bullets (impact)
• Créer page portfolio data
• Plan 90 jours</t>
  </si>
  <si>
    <t>Portfolio data final</t>
  </si>
  <si>
    <t>Choisir: streaming (Kafka), data lake, analytics (option)</t>
  </si>
  <si>
    <t>• Choisir axe secondaire concret
• Plan 6 semaines (léger)
• Faire 1 mock / POC
• Mettre à jour roadmap</t>
  </si>
  <si>
    <t>Plan spécialité (option)</t>
  </si>
  <si>
    <t>Docs opérables: standards, runbooks, playbooks</t>
  </si>
  <si>
    <t>• Assembler handbook (liens standards/runbooks)
• Créer onboarding 1h data
• Créer checklists (new topic, new pipeline)
• Publier</t>
  </si>
  <si>
    <t>DataOps handbook</t>
  </si>
  <si>
    <t>KPIs: freshness, quality, incidents, contract breaks</t>
  </si>
  <si>
    <t>• Définir 6 KPIs data
• Créer dashboard/doc mensuel
• Définir objectifs 90 jours
• Documenter mesure</t>
  </si>
  <si>
    <t>Dashboard KPIs data</t>
  </si>
  <si>
    <t>Exercice: fuite données / ACL mal configurée</t>
  </si>
  <si>
    <t>• Simuler ACL trop large
• Corriger + auditer accès
• Mettre à jour runbooks
• Postmortem sécurité data</t>
  </si>
  <si>
    <t>Postmortem sécurité data</t>
  </si>
  <si>
    <t>Exercice: coûts query/storage explosent</t>
  </si>
  <si>
    <t>• Simuler hausse coût (query/retention)
• Triage + optimisation (partitions/lifecycle)
• Mettre alertes coûts
• Postmortem FinOps data</t>
  </si>
  <si>
    <t>Postmortem FinOps data</t>
  </si>
  <si>
    <t>Définir rôle cible &amp; projets pro data</t>
  </si>
  <si>
    <t>• Définir rôle (Data/Streaming Architect)
• Lister manques
• Définir 3 initiatives pro
• Mettre à jour roadmap</t>
  </si>
  <si>
    <t>• Bilan (SLO, incidents, coûts)
• Mettre portfolio final
• Mettre standards final
• Plan 90 jours</t>
  </si>
  <si>
    <t>W01</t>
  </si>
  <si>
    <t>M1</t>
  </si>
  <si>
    <t>Phase 1</t>
  </si>
  <si>
    <t>Docker Mastery: Sections 1-3 (intro, containers, images)</t>
  </si>
  <si>
    <t>DevOps/docker &amp;&amp; kubernetes/Docker Mastery.zip</t>
  </si>
  <si>
    <t>README 'run locally'</t>
  </si>
  <si>
    <t>W02</t>
  </si>
  <si>
    <t>Docker Mastery: Sections 4-5 (volumes, networks, compose)</t>
  </si>
  <si>
    <t>Diagramme app↔DB</t>
  </si>
  <si>
    <t>W03</t>
  </si>
  <si>
    <t>Docker Mastery: Sections 6-8 (registries, best practices, security)</t>
  </si>
  <si>
    <t>ADR-001 'packaging'</t>
  </si>
  <si>
    <t>W04</t>
  </si>
  <si>
    <t>Consolidation Docker + recherche Spring Actuator</t>
  </si>
  <si>
    <t>Checklist DoD container</t>
  </si>
  <si>
    <t>W05</t>
  </si>
  <si>
    <t>M2</t>
  </si>
  <si>
    <t>GitLab CI: Sections 1-5 (intro, YAML, jobs, stages)</t>
  </si>
  <si>
    <t>DevOps/git &amp; gitlab &amp; github/GitLab CI.zip</t>
  </si>
  <si>
    <t>README CI</t>
  </si>
  <si>
    <t>W06</t>
  </si>
  <si>
    <t>GitLab CI: Docker-in-Docker, services, registry</t>
  </si>
  <si>
    <t>ADR-002 'CI strategy'</t>
  </si>
  <si>
    <t>W07</t>
  </si>
  <si>
    <t>GitLab CI: Quality gates + recherche JaCoCo/Checkstyle</t>
  </si>
  <si>
    <t>Tableau quality gates</t>
  </si>
  <si>
    <t>W08</t>
  </si>
  <si>
    <t>GitLab CI: Environments, deploy jobs</t>
  </si>
  <si>
    <t>Runbook deploy/rollback</t>
  </si>
  <si>
    <t>W09</t>
  </si>
  <si>
    <t>M3</t>
  </si>
  <si>
    <t>Cloud Practitioner: Intro + IAM (policies, roles)</t>
  </si>
  <si>
    <t>AWS/practitioner/CLF-C02.zip</t>
  </si>
  <si>
    <t>ADR-003 'IAM approach'</t>
  </si>
  <si>
    <t>W10</t>
  </si>
  <si>
    <t>Cloud Practitioner: VPC, subnets, SGs, NACLs</t>
  </si>
  <si>
    <t>Diagramme réseau v1</t>
  </si>
  <si>
    <t>BUFFER-1</t>
  </si>
  <si>
    <t>Rattrapage / Consolidation — pas de nouvelle formation</t>
  </si>
  <si>
    <t>0-3h</t>
  </si>
  <si>
    <t>-</t>
  </si>
  <si>
    <t>0-4h</t>
  </si>
  <si>
    <t>Rattrapage Q1</t>
  </si>
  <si>
    <t>W11</t>
  </si>
  <si>
    <t>EC2 Master Class: EC2, AMI, ALB, Target Groups</t>
  </si>
  <si>
    <t>AWS/practitioner/EC2 Master Class.zip</t>
  </si>
  <si>
    <t>Runbook 'incident 5xx'</t>
  </si>
  <si>
    <t>W12</t>
  </si>
  <si>
    <t>Cloud Practitioner: RDS + CloudWatch (logs, alarms)</t>
  </si>
  <si>
    <t>AWS/general/CloudWatch.zip</t>
  </si>
  <si>
    <t>Checklist 'ops minimum'</t>
  </si>
  <si>
    <t>W13</t>
  </si>
  <si>
    <t>M4</t>
  </si>
  <si>
    <t>Terraform: Intro, HCL, providers, resources, state</t>
  </si>
  <si>
    <t>DevOps/terraform/Terraform Associate 2023.zip</t>
  </si>
  <si>
    <t>ADR-004 'IaC tool'</t>
  </si>
  <si>
    <t>W14</t>
  </si>
  <si>
    <t>Terraform: Modules, data sources + demos EC2/ALB</t>
  </si>
  <si>
    <t>DevOps/terraform/50 Practical Demos.zip</t>
  </si>
  <si>
    <t>Diagramme infra v2</t>
  </si>
  <si>
    <t>W15</t>
  </si>
  <si>
    <t>Terraform: Variables, outputs + demos RDS/Secrets</t>
  </si>
  <si>
    <t>Runbook 'restore DB'</t>
  </si>
  <si>
    <t>W16</t>
  </si>
  <si>
    <t>Terraform: Workspaces, backends, multi-env</t>
  </si>
  <si>
    <t>DevOps/terraform/Terraform on AWS SRE.zip</t>
  </si>
  <si>
    <t>Convention repo</t>
  </si>
  <si>
    <t>W17</t>
  </si>
  <si>
    <t>M5</t>
  </si>
  <si>
    <t>SAA-C03: High Availability, Auto Scaling</t>
  </si>
  <si>
    <t>AWS/Architect/Ultimate SAA-C03.zip</t>
  </si>
  <si>
    <t>ADR-005 'HA choices'</t>
  </si>
  <si>
    <t>W18</t>
  </si>
  <si>
    <t>SAA-C03: S3 deep dive, lifecycle, encryption</t>
  </si>
  <si>
    <t>Checklist 'data durability'</t>
  </si>
  <si>
    <t>W19</t>
  </si>
  <si>
    <t>SAA-C03: IAM advanced, KMS, CloudTrail</t>
  </si>
  <si>
    <t>Threat model léger</t>
  </si>
  <si>
    <t>W20</t>
  </si>
  <si>
    <t>SAA-C03: VPC endpoints, PrivateLink, SSM</t>
  </si>
  <si>
    <t>Diagramme réseau v3</t>
  </si>
  <si>
    <t>BUFFER-2</t>
  </si>
  <si>
    <t>Rattrapage / Consolidation</t>
  </si>
  <si>
    <t>Rattrapage Q2</t>
  </si>
  <si>
    <t>W21</t>
  </si>
  <si>
    <t>M6</t>
  </si>
  <si>
    <t>SAA-C03: CloudWatch deep dive + failure scenarios</t>
  </si>
  <si>
    <t>AWS/Architect/Resilient Architectures.zip</t>
  </si>
  <si>
    <t>Postmortem simulé</t>
  </si>
  <si>
    <t>W22</t>
  </si>
  <si>
    <t>SAA-C03: Cost optimization, Reserved, Spot, Savings</t>
  </si>
  <si>
    <t>ADR-006 'cost guardrails'</t>
  </si>
  <si>
    <t>W23</t>
  </si>
  <si>
    <t>SAA-C03: Lambda, API Gateway, DynamoDB, SQS</t>
  </si>
  <si>
    <t>Comparaison EC2/serverless</t>
  </si>
  <si>
    <t>W24</t>
  </si>
  <si>
    <t>SAA-C03: Révision + examen blanc 1</t>
  </si>
  <si>
    <t>Backlog 'gaps SAA'</t>
  </si>
  <si>
    <t>W25</t>
  </si>
  <si>
    <t>SAA-C03: Remédiation gaps + examen blanc 2</t>
  </si>
  <si>
    <t>Cheat sheet v1</t>
  </si>
  <si>
    <t>W26</t>
  </si>
  <si>
    <t>SAA-C03: Finalisation + Well-Architected review</t>
  </si>
  <si>
    <t>Portfolio Phase 1</t>
  </si>
  <si>
    <t>REVIEW-Q1</t>
  </si>
  <si>
    <t>Feedback externe sur portfolio Phase 1</t>
  </si>
  <si>
    <t>Review report Q1 (1 page)</t>
  </si>
  <si>
    <t>W27</t>
  </si>
  <si>
    <t>M7</t>
  </si>
  <si>
    <t>Phase 2</t>
  </si>
  <si>
    <t>K8s: pods, deployments, services</t>
  </si>
  <si>
    <t>DevOps/docker &amp;&amp; kubernetes/Complete K8s.zip</t>
  </si>
  <si>
    <t>Diagramme runtime K8s</t>
  </si>
  <si>
    <t>W28</t>
  </si>
  <si>
    <t>K8s: ConfigMaps, Secrets, probes</t>
  </si>
  <si>
    <t>DoD 'K8s app'</t>
  </si>
  <si>
    <t>W29</t>
  </si>
  <si>
    <t>K8s: Ingress</t>
  </si>
  <si>
    <t>Runbook 'ingress down'</t>
  </si>
  <si>
    <t>W30</t>
  </si>
  <si>
    <t>Helm basics</t>
  </si>
  <si>
    <t>DevOps/docker &amp;&amp; kubernetes/HELM MasterClass.zip</t>
  </si>
  <si>
    <t>ADR-007 'packaging K8s'</t>
  </si>
  <si>
    <t>BUFFER-3</t>
  </si>
  <si>
    <t>Rattrapage Q3</t>
  </si>
  <si>
    <t>W31</t>
  </si>
  <si>
    <t>M8</t>
  </si>
  <si>
    <t>K8s: Observabilité logs</t>
  </si>
  <si>
    <t>DevOps/docker &amp;&amp; kubernetes/K8s Master CKA.zip</t>
  </si>
  <si>
    <t>Dashboard/log queries</t>
  </si>
  <si>
    <t>W32</t>
  </si>
  <si>
    <t>EKS bootstrap</t>
  </si>
  <si>
    <t>DevOps/docker &amp;&amp; kubernetes/Amazon EKS Starter.zip</t>
  </si>
  <si>
    <t>Diagramme infra EKS v1</t>
  </si>
  <si>
    <t>W33</t>
  </si>
  <si>
    <t>K8s: HPA scaling</t>
  </si>
  <si>
    <t>SLO simple + seuils</t>
  </si>
  <si>
    <t>W34</t>
  </si>
  <si>
    <t>K8s: Storage (PVC)</t>
  </si>
  <si>
    <t>Runbook 'data on K8s'</t>
  </si>
  <si>
    <t>W35</t>
  </si>
  <si>
    <t>M9</t>
  </si>
  <si>
    <t>K8s: Network policies, RBAC</t>
  </si>
  <si>
    <t>Threat model v2</t>
  </si>
  <si>
    <t>W36</t>
  </si>
  <si>
    <t>K8s: Upgrade, rollback</t>
  </si>
  <si>
    <t>Runbook 'release'</t>
  </si>
  <si>
    <t>W37</t>
  </si>
  <si>
    <t>K8s: Troubleshooting</t>
  </si>
  <si>
    <t>Checklist debug</t>
  </si>
  <si>
    <t>W38</t>
  </si>
  <si>
    <t>EKS consolidation</t>
  </si>
  <si>
    <t>EKS Ops Guide v1</t>
  </si>
  <si>
    <t>W39</t>
  </si>
  <si>
    <t>M10</t>
  </si>
  <si>
    <t>Logs: structure + corrélation</t>
  </si>
  <si>
    <t>Standard logging</t>
  </si>
  <si>
    <t>W40</t>
  </si>
  <si>
    <t>Metrics: Prometheus</t>
  </si>
  <si>
    <t>DevOps/visualisation/Prometheus.zip</t>
  </si>
  <si>
    <t>Dashboard v1</t>
  </si>
  <si>
    <t>BUFFER-4</t>
  </si>
  <si>
    <t>Rattrapage Q4</t>
  </si>
  <si>
    <t>W41</t>
  </si>
  <si>
    <t>Alerting</t>
  </si>
  <si>
    <t>Matrice alertes</t>
  </si>
  <si>
    <t>W42</t>
  </si>
  <si>
    <t>Tracing: OpenTelemetry</t>
  </si>
  <si>
    <t>Runbook 'latency'</t>
  </si>
  <si>
    <t>W43</t>
  </si>
  <si>
    <t>M11</t>
  </si>
  <si>
    <t>SLO/SLA/SLI</t>
  </si>
  <si>
    <t>Doc SLO</t>
  </si>
  <si>
    <t>W44</t>
  </si>
  <si>
    <t>Incident management</t>
  </si>
  <si>
    <t>Postmortem v1 réel</t>
  </si>
  <si>
    <t>W45</t>
  </si>
  <si>
    <t>Capacity &amp; load</t>
  </si>
  <si>
    <t>DevOps/visualisation/Grafana.zip</t>
  </si>
  <si>
    <t>ADR-008 'capacity'</t>
  </si>
  <si>
    <t>W46</t>
  </si>
  <si>
    <t>Fin SRE block</t>
  </si>
  <si>
    <t>Portfolio Phase 2a</t>
  </si>
  <si>
    <t>MILESTONE-1</t>
  </si>
  <si>
    <t>Communication / Jalon visibilité mi-parcours</t>
  </si>
  <si>
    <t>Article LinkedIn + démo vidéo</t>
  </si>
  <si>
    <t>W47</t>
  </si>
  <si>
    <t>M12</t>
  </si>
  <si>
    <t>Spring Cloud: service discovery</t>
  </si>
  <si>
    <t>Dev/java/Spring Boot Microservices.zip</t>
  </si>
  <si>
    <t>Diagramme C4</t>
  </si>
  <si>
    <t>W48</t>
  </si>
  <si>
    <t>API Gateway</t>
  </si>
  <si>
    <t>ADR-009 'edge'</t>
  </si>
  <si>
    <t>W49</t>
  </si>
  <si>
    <t>Kafka: pub/sub</t>
  </si>
  <si>
    <t>Dev/kafka/Complete Kafka.zip</t>
  </si>
  <si>
    <t>Runbook 'consumer lag'</t>
  </si>
  <si>
    <t>W50</t>
  </si>
  <si>
    <t>Idempotence</t>
  </si>
  <si>
    <t>Dev/java/Event-driven microservices.zip</t>
  </si>
  <si>
    <t>Checklist idempotence</t>
  </si>
  <si>
    <t>BUFFER-5</t>
  </si>
  <si>
    <t>M13</t>
  </si>
  <si>
    <t>Rattrapage Q5</t>
  </si>
  <si>
    <t>W51</t>
  </si>
  <si>
    <t>Outbox pattern</t>
  </si>
  <si>
    <t>Archi/Microservices Clean Archi DDD SAGA.zip</t>
  </si>
  <si>
    <t>ADR-010 'outbox'</t>
  </si>
  <si>
    <t>W52</t>
  </si>
  <si>
    <t>Saga pattern</t>
  </si>
  <si>
    <t>Diagramme séquence</t>
  </si>
  <si>
    <t>W53</t>
  </si>
  <si>
    <t>Consistency &amp; transactions</t>
  </si>
  <si>
    <t>Runbook 'poison message'</t>
  </si>
  <si>
    <t>W54</t>
  </si>
  <si>
    <t>Versioning events</t>
  </si>
  <si>
    <t>Standard event schema</t>
  </si>
  <si>
    <t>W55</t>
  </si>
  <si>
    <t>M14</t>
  </si>
  <si>
    <t>Resilience patterns</t>
  </si>
  <si>
    <t>ADR-011 'resilience'</t>
  </si>
  <si>
    <t>W56</t>
  </si>
  <si>
    <t>Security service-to-service</t>
  </si>
  <si>
    <t>Dev/java/Spring Security 6.zip</t>
  </si>
  <si>
    <t>Threat model v3</t>
  </si>
  <si>
    <t>W57</t>
  </si>
  <si>
    <t>DDD: bounded contexts</t>
  </si>
  <si>
    <t>Archi/Khononov DDD.pdf</t>
  </si>
  <si>
    <t>Carte bounded contexts</t>
  </si>
  <si>
    <t>W58</t>
  </si>
  <si>
    <t>Performance</t>
  </si>
  <si>
    <t>Dev/java/Reactive Microservices.zip</t>
  </si>
  <si>
    <t>Rapport perf (1 page)</t>
  </si>
  <si>
    <t>W59</t>
  </si>
  <si>
    <t>M15</t>
  </si>
  <si>
    <t>Test strategy</t>
  </si>
  <si>
    <t>Stratégie tests v1</t>
  </si>
  <si>
    <t>W60</t>
  </si>
  <si>
    <t>Deployment strategy</t>
  </si>
  <si>
    <t>Runbook release v2</t>
  </si>
  <si>
    <t>BUFFER-6</t>
  </si>
  <si>
    <t>Rattrapage Q6</t>
  </si>
  <si>
    <t>W61</t>
  </si>
  <si>
    <t>Cost &amp; scaling</t>
  </si>
  <si>
    <t>ADR-012 'cost/perf'</t>
  </si>
  <si>
    <t>W62</t>
  </si>
  <si>
    <t>Consolidation microservices</t>
  </si>
  <si>
    <t>Archi/Hombergs Clean Archi.pdf</t>
  </si>
  <si>
    <t>Architecture Pack v1</t>
  </si>
  <si>
    <t>W63</t>
  </si>
  <si>
    <t>Révision globale</t>
  </si>
  <si>
    <t>Backlog dette tech</t>
  </si>
  <si>
    <t>W64</t>
  </si>
  <si>
    <t>Hardening</t>
  </si>
  <si>
    <t>Secure Coding OWASP.zip</t>
  </si>
  <si>
    <t>Checklist sécurité</t>
  </si>
  <si>
    <t>W65</t>
  </si>
  <si>
    <t>Portfolio Phase 2</t>
  </si>
  <si>
    <t>Portfolio Phase 2 final</t>
  </si>
  <si>
    <t>REVIEW-Q2</t>
  </si>
  <si>
    <t>Feedback externe sur portfolio Phase 2</t>
  </si>
  <si>
    <t>Review report Q2 (1 page)</t>
  </si>
  <si>
    <t>W66</t>
  </si>
  <si>
    <t>M16</t>
  </si>
  <si>
    <t>Phase 3</t>
  </si>
  <si>
    <t>Terraform avancé : modules &amp; structure repo</t>
  </si>
  <si>
    <t>ADR-013 'modules'</t>
  </si>
  <si>
    <t>W67</t>
  </si>
  <si>
    <t>Terraform : state distant + locking</t>
  </si>
  <si>
    <t>ADR-014 'state'</t>
  </si>
  <si>
    <t>W68</t>
  </si>
  <si>
    <t>Terraform : dev/stage/prod reproductibles</t>
  </si>
  <si>
    <t>ADR-015 'multi-env'</t>
  </si>
  <si>
    <t>W69</t>
  </si>
  <si>
    <t>Guardrails : tags, policies, baselines</t>
  </si>
  <si>
    <t>Checklist conformité v1</t>
  </si>
  <si>
    <t>W70</t>
  </si>
  <si>
    <t>M17</t>
  </si>
  <si>
    <t>Secrets management (Vault/IAM) + least privilege</t>
  </si>
  <si>
    <t>DevOps/HashiCorp Certified_ Vault Operations Professional 2022.zip</t>
  </si>
  <si>
    <t>Runbook 'credential leak'</t>
  </si>
  <si>
    <t>CERT-TF</t>
  </si>
  <si>
    <t>🎯 Terraform Associate 004 — Prep + Examen</t>
  </si>
  <si>
    <t>5h</t>
  </si>
  <si>
    <t>Certif Terraform Associate 004</t>
  </si>
  <si>
    <t>W71</t>
  </si>
  <si>
    <t>Pipelines avancés : build→test→scan→deploy</t>
  </si>
  <si>
    <t>DevOps/DevOps Projects 20 Real Time.zip</t>
  </si>
  <si>
    <t>Schéma pipeline v1</t>
  </si>
  <si>
    <t>W72</t>
  </si>
  <si>
    <t>GitOps : ArgoCD + déploiement Helm</t>
  </si>
  <si>
    <t>DevOps/git &amp; gitlab &amp; github/Udemy - Mastering GitOps with Argo CD.zip</t>
  </si>
  <si>
    <t>ADR-016 'GitOps'</t>
  </si>
  <si>
    <t>W73</t>
  </si>
  <si>
    <t>Canary / blue-green (POC réel)</t>
  </si>
  <si>
    <t>ADR-017 'progressive delivery'</t>
  </si>
  <si>
    <t>W74</t>
  </si>
  <si>
    <t>M18</t>
  </si>
  <si>
    <t>Rollback sur métriques (simple)</t>
  </si>
  <si>
    <t>Runbook 'auto rollback'</t>
  </si>
  <si>
    <t>W75</t>
  </si>
  <si>
    <t>DR : backup/restore testés + RTO/RPO</t>
  </si>
  <si>
    <t>AWS/Architect/AWS Solutions Architect Professional.zip</t>
  </si>
  <si>
    <t>Runbook DR v1</t>
  </si>
  <si>
    <t>W76</t>
  </si>
  <si>
    <t>Multi-account intro + séparation environnements</t>
  </si>
  <si>
    <t>Diagramme org v1</t>
  </si>
  <si>
    <t>W77</t>
  </si>
  <si>
    <t>Audit trail : centraliser logs &amp; traces</t>
  </si>
  <si>
    <t>Runbook 'audit request'</t>
  </si>
  <si>
    <t>W78</t>
  </si>
  <si>
    <t>M19</t>
  </si>
  <si>
    <t>Réseau avancé : peering/TGW + connectivité</t>
  </si>
  <si>
    <t>AWS/DevOps/AWS Advanced Networking Specialty.zip</t>
  </si>
  <si>
    <t>Checklist réseau v1</t>
  </si>
  <si>
    <t>REVIEW-Q3</t>
  </si>
  <si>
    <t>Feedback externe sur architecture cible</t>
  </si>
  <si>
    <t>Review report Q3 (1 page)</t>
  </si>
  <si>
    <t>W79</t>
  </si>
  <si>
    <t>Perf infra : sizing + tests + ajustements</t>
  </si>
  <si>
    <t>Rapport perf v2 (1 page)</t>
  </si>
  <si>
    <t>W80</t>
  </si>
  <si>
    <t>Optimisation coûts : budgets + rightsizing</t>
  </si>
  <si>
    <t>Playbook coûts v1</t>
  </si>
  <si>
    <t>BUFFER-7</t>
  </si>
  <si>
    <t>Rattrapage Q7</t>
  </si>
  <si>
    <t>W81</t>
  </si>
  <si>
    <t>Hardening EKS : RBAC, policies, images</t>
  </si>
  <si>
    <t>Baseline sécurité v1</t>
  </si>
  <si>
    <t>W82</t>
  </si>
  <si>
    <t>M20</t>
  </si>
  <si>
    <t>Supply-chain : SBOM, scans, signatures (light)</t>
  </si>
  <si>
    <t>DoD 'secure build'</t>
  </si>
  <si>
    <t>W83</t>
  </si>
  <si>
    <t>Chaos drills : pannes contrôlées</t>
  </si>
  <si>
    <t>Postmortem v2</t>
  </si>
  <si>
    <t>W84</t>
  </si>
  <si>
    <t>Consolidation : docs &amp; automation</t>
  </si>
  <si>
    <t>Platform handbook v1</t>
  </si>
  <si>
    <t>W85</t>
  </si>
  <si>
    <t>Revue d’architecture complète</t>
  </si>
  <si>
    <t>Architecture Review doc v1</t>
  </si>
  <si>
    <t>W86</t>
  </si>
  <si>
    <t>M21</t>
  </si>
  <si>
    <t>Patterns HA + tests</t>
  </si>
  <si>
    <t>ADR-018 'HA choices'</t>
  </si>
  <si>
    <t>W87</t>
  </si>
  <si>
    <t>Stratégies data : ownership, backups, perf</t>
  </si>
  <si>
    <t>Archi/Khononov DDD.pdf
Archi/Hombergs Clean Archi.pdf</t>
  </si>
  <si>
    <t>Runbook data v2</t>
  </si>
  <si>
    <t>W88</t>
  </si>
  <si>
    <t>Sécurité applicative + cloud hardening</t>
  </si>
  <si>
    <t>Sec/Secure Coding OWASP Top 10.zip</t>
  </si>
  <si>
    <t>Threat model v4</t>
  </si>
  <si>
    <t>W89</t>
  </si>
  <si>
    <t>Gouvernance : tagging, guardrails, standards</t>
  </si>
  <si>
    <t>Checklist gouvernance v1</t>
  </si>
  <si>
    <t>W90</t>
  </si>
  <si>
    <t>M22</t>
  </si>
  <si>
    <t>Perf end-to-end : tracing + optimisations</t>
  </si>
  <si>
    <t>Rapport perf v3</t>
  </si>
  <si>
    <t>BUFFER-8</t>
  </si>
  <si>
    <t>Rattrapage Q8</t>
  </si>
  <si>
    <t>W91</t>
  </si>
  <si>
    <t>Réduction toil + automatisation ops</t>
  </si>
  <si>
    <t>W92</t>
  </si>
  <si>
    <t>Docs : onboarding 1h</t>
  </si>
  <si>
    <t>Onboarding guide v1</t>
  </si>
  <si>
    <t>W93</t>
  </si>
  <si>
    <t>System design timed (2 cas) + correction</t>
  </si>
  <si>
    <t>Solutions écrites v1</t>
  </si>
  <si>
    <t>W94</t>
  </si>
  <si>
    <t>M23</t>
  </si>
  <si>
    <t>Drill incident 60 min + postmortem</t>
  </si>
  <si>
    <t>Postmortem v3</t>
  </si>
  <si>
    <t>W95</t>
  </si>
  <si>
    <t>Drill sécurité : keys leaked</t>
  </si>
  <si>
    <t>Runbook sécurité v2</t>
  </si>
  <si>
    <t>W96</t>
  </si>
  <si>
    <t>Drill coûts : facture qui explose</t>
  </si>
  <si>
    <t>Playbook coûts v2</t>
  </si>
  <si>
    <t>W97</t>
  </si>
  <si>
    <t>Standards retries/timeouts/backoff</t>
  </si>
  <si>
    <t>ADR-019 'defaults'</t>
  </si>
  <si>
    <t>W98</t>
  </si>
  <si>
    <t>M24</t>
  </si>
  <si>
    <t>Mindmap services AWS + quand utiliser</t>
  </si>
  <si>
    <t>Cheat sheet v2</t>
  </si>
  <si>
    <t>W99</t>
  </si>
  <si>
    <t>Portfolio v3 : démo &amp; docs</t>
  </si>
  <si>
    <t>Portfolio v3</t>
  </si>
  <si>
    <t>W100</t>
  </si>
  <si>
    <t>Combler 3 gaps majeurs</t>
  </si>
  <si>
    <t>Plan remédiation</t>
  </si>
  <si>
    <t>BUFFER-9</t>
  </si>
  <si>
    <t>Rattrapage / Consolidation — CRITIQUE avant SAP</t>
  </si>
  <si>
    <t>Rattrapage Q9</t>
  </si>
  <si>
    <t>W101</t>
  </si>
  <si>
    <t>Plan d’étude SAP + baseline mock</t>
  </si>
  <si>
    <t>Backlog SAP</t>
  </si>
  <si>
    <t>W102</t>
  </si>
  <si>
    <t>M25</t>
  </si>
  <si>
    <t>SAP : design solutions (domaine 1)</t>
  </si>
  <si>
    <t>ADR-020 'SAP design'</t>
  </si>
  <si>
    <t>W103</t>
  </si>
  <si>
    <t>SAP : migration (6R) + hybrid</t>
  </si>
  <si>
    <t>Plan migration (1 page)</t>
  </si>
  <si>
    <t>W104</t>
  </si>
  <si>
    <t>SAP : networking + connectivité</t>
  </si>
  <si>
    <t>Diagramme réseau v4</t>
  </si>
  <si>
    <t>REVIEW-Q4</t>
  </si>
  <si>
    <t>Feedback externe sur prep SAP-C02</t>
  </si>
  <si>
    <t>Review report Q4 (1 page)</t>
  </si>
  <si>
    <t>W105</t>
  </si>
  <si>
    <t>SAP : sécurité à l’échelle</t>
  </si>
  <si>
    <t>Baseline sécurité v2</t>
  </si>
  <si>
    <t>W106</t>
  </si>
  <si>
    <t>SAP : DR/BCP + tests</t>
  </si>
  <si>
    <t>ADR-021 'DR plan'</t>
  </si>
  <si>
    <t>W107</t>
  </si>
  <si>
    <t>M26</t>
  </si>
  <si>
    <t>SAP : choix data stores + pipelines</t>
  </si>
  <si>
    <t>Décision data v1</t>
  </si>
  <si>
    <t>W108</t>
  </si>
  <si>
    <t>SAP : perf efficiency</t>
  </si>
  <si>
    <t>Perf report v4</t>
  </si>
  <si>
    <t>W109</t>
  </si>
  <si>
    <t>SAP : cost optimisation avancée</t>
  </si>
  <si>
    <t>Cost strategy v2</t>
  </si>
  <si>
    <t>W110</t>
  </si>
  <si>
    <t>SAP : ops excellence + DevOps Pro notions</t>
  </si>
  <si>
    <t>AWS/DevOps/AWS Certified DevOps Engineer - Professional.zip</t>
  </si>
  <si>
    <t>Ops handbook v2</t>
  </si>
  <si>
    <t>BUFFER-10</t>
  </si>
  <si>
    <t>Rattrapage Q10</t>
  </si>
  <si>
    <t>W111</t>
  </si>
  <si>
    <t>SAP : examen blanc #1 + analyse</t>
  </si>
  <si>
    <t>Gaps SAP (top 20)</t>
  </si>
  <si>
    <t>W112</t>
  </si>
  <si>
    <t>M27</t>
  </si>
  <si>
    <t>Remédiation ciblée (3 domaines faibles)</t>
  </si>
  <si>
    <t>Cheat sheet v3</t>
  </si>
  <si>
    <t>W113</t>
  </si>
  <si>
    <t>SAP : examen blanc #2 + correction</t>
  </si>
  <si>
    <t>Backlog gaps v2</t>
  </si>
  <si>
    <t>W114</t>
  </si>
  <si>
    <t>Remédiation ciblée (services difficiles)</t>
  </si>
  <si>
    <t>Notes synthèse (10p)</t>
  </si>
  <si>
    <t>W115</t>
  </si>
  <si>
    <t>2 designs complets (timed) + correction</t>
  </si>
  <si>
    <t>Réponses structurées</t>
  </si>
  <si>
    <t>W116</t>
  </si>
  <si>
    <t>Revue Well-Architected sur ton projet</t>
  </si>
  <si>
    <t>Architecture Review v2</t>
  </si>
  <si>
    <t>W117</t>
  </si>
  <si>
    <t>M28</t>
  </si>
  <si>
    <t>Mock final + remédiation</t>
  </si>
  <si>
    <t>Cheat sheet v4</t>
  </si>
  <si>
    <t>W118</t>
  </si>
  <si>
    <t>Refaire labs clés à blanc</t>
  </si>
  <si>
    <t>Checklist readiness</t>
  </si>
  <si>
    <t>W119</t>
  </si>
  <si>
    <t>Semaine légère (sommeil + review)</t>
  </si>
  <si>
    <t>Plan semaine exam</t>
  </si>
  <si>
    <t>W120</t>
  </si>
  <si>
    <t>Dernière synthèse (weak points only)</t>
  </si>
  <si>
    <t>Last minute notes</t>
  </si>
  <si>
    <t>W121</t>
  </si>
  <si>
    <t>Passage certif + rétro</t>
  </si>
  <si>
    <t>Post-exam review</t>
  </si>
  <si>
    <t>W122</t>
  </si>
  <si>
    <t>Portfolio final + roadmap année 3</t>
  </si>
  <si>
    <t>Dossier final</t>
  </si>
  <si>
    <t>REVIEW-FINAL</t>
  </si>
  <si>
    <t>M28+</t>
  </si>
  <si>
    <t>Post Phase 3</t>
  </si>
  <si>
    <t>Review externe portfolio architecte final</t>
  </si>
  <si>
    <t>Review architecte final + décision Année 3</t>
  </si>
  <si>
    <t>🗓️ Emploi du temps — Programme W001 à W122</t>
  </si>
  <si>
    <t>Date de démarrage (jour où tu commences)</t>
  </si>
  <si>
    <t>➡️ Modifie B2 : les dates se recalculent. W001 commence automatiquement le lundi suivant (B3).</t>
  </si>
  <si>
    <t>Début officiel W001 (lundi)</t>
  </si>
  <si>
    <t>W001 démarre le lundi suivant pour respecter ton rythme TT (lun/mar) + présentiel (mer/jeu/ven). Entre la date de démarrage (B2) et ce lundi (B3), considère ça comme une « pré‑semaine » pour setup (repo, comptes, outils) et prise en main.</t>
  </si>
  <si>
    <t>Semaine type (répétée pour W001–W122)</t>
  </si>
  <si>
    <t>Mode</t>
  </si>
  <si>
    <t>Travail</t>
  </si>
  <si>
    <t>Trajets</t>
  </si>
  <si>
    <t>Sport</t>
  </si>
  <si>
    <t>Couple/Famille</t>
  </si>
  <si>
    <t>Repos</t>
  </si>
  <si>
    <t>Lundi</t>
  </si>
  <si>
    <t>TT</t>
  </si>
  <si>
    <t>09:00–12:00 / 14:00–18:00</t>
  </si>
  <si>
    <t>07:30–09:00 (deep)</t>
  </si>
  <si>
    <t>18:30–20:30 (salle)</t>
  </si>
  <si>
    <t>Soirée (après sport)</t>
  </si>
  <si>
    <t>Nuit</t>
  </si>
  <si>
    <t>Matin = cerveau frais
Soir = couple</t>
  </si>
  <si>
    <t>Mardi</t>
  </si>
  <si>
    <t>07:30–09:00 (deep) + 20:30–20:50 (review)</t>
  </si>
  <si>
    <t>Soirée (hors review)</t>
  </si>
  <si>
    <t>Review fixe 20 min</t>
  </si>
  <si>
    <t>Mercredi</t>
  </si>
  <si>
    <t>Présentiel</t>
  </si>
  <si>
    <t>Journée (bureau)</t>
  </si>
  <si>
    <t>06:30 départ → 19:00/19:30 retour</t>
  </si>
  <si>
    <t>Soirée couple/repos</t>
  </si>
  <si>
    <t>Pas de formation</t>
  </si>
  <si>
    <t>Jeudi</t>
  </si>
  <si>
    <t>20:00–22:00 (salle)</t>
  </si>
  <si>
    <t>Soirée (hors sport)</t>
  </si>
  <si>
    <t>Sport salle (fixe)</t>
  </si>
  <si>
    <t>Vendredi</t>
  </si>
  <si>
    <t>Soirée couple (protégée)</t>
  </si>
  <si>
    <t>Détente / social</t>
  </si>
  <si>
    <t>Samedi</t>
  </si>
  <si>
    <t>WE</t>
  </si>
  <si>
    <t>09:00–12:00 (labs/projet)</t>
  </si>
  <si>
    <t>16:00–18:00 (salle)</t>
  </si>
  <si>
    <t>Après-midi &amp; soirée couple</t>
  </si>
  <si>
    <t>Jour principal pratique</t>
  </si>
  <si>
    <t>Dimanche</t>
  </si>
  <si>
    <t>Option: 0–45 min (notes) si envie</t>
  </si>
  <si>
    <t>Journée couple/famille (protégée)</t>
  </si>
  <si>
    <t>Zéro culpabilité</t>
  </si>
  <si>
    <t>Calendrier (W001–W122) — résumé hebdomadaire</t>
  </si>
  <si>
    <t>Début (lun)</t>
  </si>
  <si>
    <t>Fin (dim)</t>
  </si>
  <si>
    <t>Travail TT (h)</t>
  </si>
  <si>
    <t>Travail Présentiel (h)</t>
  </si>
  <si>
    <t>Trajets Présentiel (h approx)</t>
  </si>
  <si>
    <t>Formation (h)</t>
  </si>
  <si>
    <t>Sport (h)</t>
  </si>
  <si>
    <t>Couple/Famille (règles)</t>
  </si>
  <si>
    <t>Repos (règles)</t>
  </si>
  <si>
    <t>W001</t>
  </si>
  <si>
    <t>Mer &amp; Ven soir + Dimanche protégés; soirées TT hors sport/formation = couple</t>
  </si>
  <si>
    <t>Mercredi repos; Dimanche repos; pas de formation jours présentiel</t>
  </si>
  <si>
    <t>W002</t>
  </si>
  <si>
    <t>W003</t>
  </si>
  <si>
    <t>W004</t>
  </si>
  <si>
    <t>W005</t>
  </si>
  <si>
    <t>W006</t>
  </si>
  <si>
    <t>W007</t>
  </si>
  <si>
    <t>W008</t>
  </si>
  <si>
    <t>W009</t>
  </si>
  <si>
    <t>W010</t>
  </si>
  <si>
    <t>W011</t>
  </si>
  <si>
    <t>W012</t>
  </si>
  <si>
    <t>W013</t>
  </si>
  <si>
    <t>W014</t>
  </si>
  <si>
    <t>W015</t>
  </si>
  <si>
    <t>W016</t>
  </si>
  <si>
    <t>W017</t>
  </si>
  <si>
    <t>W018</t>
  </si>
  <si>
    <t>W019</t>
  </si>
  <si>
    <t>W020</t>
  </si>
  <si>
    <t>W021</t>
  </si>
  <si>
    <t>W022</t>
  </si>
  <si>
    <t>W023</t>
  </si>
  <si>
    <t>W024</t>
  </si>
  <si>
    <t>W025</t>
  </si>
  <si>
    <t>W026</t>
  </si>
  <si>
    <t>W027</t>
  </si>
  <si>
    <t>W028</t>
  </si>
  <si>
    <t>W029</t>
  </si>
  <si>
    <t>W030</t>
  </si>
  <si>
    <t>W031</t>
  </si>
  <si>
    <t>W032</t>
  </si>
  <si>
    <t>W033</t>
  </si>
  <si>
    <t>W034</t>
  </si>
  <si>
    <t>W035</t>
  </si>
  <si>
    <t>W036</t>
  </si>
  <si>
    <t>W037</t>
  </si>
  <si>
    <t>W038</t>
  </si>
  <si>
    <t>W039</t>
  </si>
  <si>
    <t>W040</t>
  </si>
  <si>
    <t>W041</t>
  </si>
  <si>
    <t>W042</t>
  </si>
  <si>
    <t>W043</t>
  </si>
  <si>
    <t>W044</t>
  </si>
  <si>
    <t>W045</t>
  </si>
  <si>
    <t>W046</t>
  </si>
  <si>
    <t>W047</t>
  </si>
  <si>
    <t>W048</t>
  </si>
  <si>
    <t>W049</t>
  </si>
  <si>
    <t>W050</t>
  </si>
  <si>
    <t>W051</t>
  </si>
  <si>
    <t>W052</t>
  </si>
  <si>
    <t>W053</t>
  </si>
  <si>
    <t>W054</t>
  </si>
  <si>
    <t>W055</t>
  </si>
  <si>
    <t>W056</t>
  </si>
  <si>
    <t>W057</t>
  </si>
  <si>
    <t>W058</t>
  </si>
  <si>
    <t>W059</t>
  </si>
  <si>
    <t>W060</t>
  </si>
  <si>
    <t>W061</t>
  </si>
  <si>
    <t>W062</t>
  </si>
  <si>
    <t>W063</t>
  </si>
  <si>
    <t>W064</t>
  </si>
  <si>
    <t>W065</t>
  </si>
  <si>
    <t>W066</t>
  </si>
  <si>
    <t>W067</t>
  </si>
  <si>
    <t>W068</t>
  </si>
  <si>
    <t>W069</t>
  </si>
  <si>
    <t>W070</t>
  </si>
  <si>
    <t>W071</t>
  </si>
  <si>
    <t>W072</t>
  </si>
  <si>
    <t>W073</t>
  </si>
  <si>
    <t>W074</t>
  </si>
  <si>
    <t>W075</t>
  </si>
  <si>
    <t>W076</t>
  </si>
  <si>
    <t>W077</t>
  </si>
  <si>
    <t>W078</t>
  </si>
  <si>
    <t>W079</t>
  </si>
  <si>
    <t>W080</t>
  </si>
  <si>
    <t>W081</t>
  </si>
  <si>
    <t>W082</t>
  </si>
  <si>
    <t>W083</t>
  </si>
  <si>
    <t>W084</t>
  </si>
  <si>
    <t>W085</t>
  </si>
  <si>
    <t>W086</t>
  </si>
  <si>
    <t>W087</t>
  </si>
  <si>
    <t>W088</t>
  </si>
  <si>
    <t>W089</t>
  </si>
  <si>
    <t>W090</t>
  </si>
  <si>
    <t>W091</t>
  </si>
  <si>
    <t>W092</t>
  </si>
  <si>
    <t>W093</t>
  </si>
  <si>
    <t>W094</t>
  </si>
  <si>
    <t>W095</t>
  </si>
  <si>
    <t>W096</t>
  </si>
  <si>
    <t>W097</t>
  </si>
  <si>
    <t>W098</t>
  </si>
  <si>
    <t>W099</t>
  </si>
  <si>
    <t>Catégorie</t>
  </si>
  <si>
    <t>Chemin</t>
  </si>
  <si>
    <t>Phase(s)</t>
  </si>
  <si>
    <t>Semaines</t>
  </si>
  <si>
    <t>Heures estimées</t>
  </si>
  <si>
    <t>Docker</t>
  </si>
  <si>
    <t>Docker Mastery with Kubernetes &amp; Swarm</t>
  </si>
  <si>
    <t>W01-W04</t>
  </si>
  <si>
    <t>12h</t>
  </si>
  <si>
    <t>CI/CD</t>
  </si>
  <si>
    <t>GitLab CI - Complete Hands-On</t>
  </si>
  <si>
    <t>W05-W08</t>
  </si>
  <si>
    <t>AWS</t>
  </si>
  <si>
    <t>AWS Cloud Practitioner (CLF-C02)</t>
  </si>
  <si>
    <t>AWS/practitioner/</t>
  </si>
  <si>
    <t>W09-W12</t>
  </si>
  <si>
    <t>Amazon EC2 Master Class</t>
  </si>
  <si>
    <t>Monitoring AWS with CloudWatch</t>
  </si>
  <si>
    <t>Phase 1-2</t>
  </si>
  <si>
    <t>W12, W39-46</t>
  </si>
  <si>
    <t>6h</t>
  </si>
  <si>
    <t>Terraform</t>
  </si>
  <si>
    <t>HashiCorp Terraform Associate 2023</t>
  </si>
  <si>
    <t>W13-W16</t>
  </si>
  <si>
    <t>Terraform 50 Practical Demos</t>
  </si>
  <si>
    <t>W14-W15</t>
  </si>
  <si>
    <t>Terraform on AWS with SRE</t>
  </si>
  <si>
    <t>Phase 1,3</t>
  </si>
  <si>
    <t>W16, W66-69</t>
  </si>
  <si>
    <t>AWS SAA</t>
  </si>
  <si>
    <t>Ultimate AWS SAA-C03</t>
  </si>
  <si>
    <t>W17-W26</t>
  </si>
  <si>
    <t>30h</t>
  </si>
  <si>
    <t>Resilient Architectures on AWS</t>
  </si>
  <si>
    <t>W17, W21</t>
  </si>
  <si>
    <t>Kubernetes</t>
  </si>
  <si>
    <t>Complete Kubernetes Tutorial</t>
  </si>
  <si>
    <t>W27-W29</t>
  </si>
  <si>
    <t>9h</t>
  </si>
  <si>
    <t>Kubernetes Master Course CKA</t>
  </si>
  <si>
    <t>W31-W37</t>
  </si>
  <si>
    <t>21h</t>
  </si>
  <si>
    <t>HELM MasterClass 2024</t>
  </si>
  <si>
    <t>Amazon EKS Starter</t>
  </si>
  <si>
    <t>W32, W38</t>
  </si>
  <si>
    <t>SRE</t>
  </si>
  <si>
    <t>SRE Bootcamp</t>
  </si>
  <si>
    <t>Phase 2-3</t>
  </si>
  <si>
    <t>W39-W46, W83, W91, W94</t>
  </si>
  <si>
    <t>24h</t>
  </si>
  <si>
    <t>Prometheus Alerting and Monitoring</t>
  </si>
  <si>
    <t>W40-W41</t>
  </si>
  <si>
    <t>Grafana</t>
  </si>
  <si>
    <t>Microservices</t>
  </si>
  <si>
    <t>Spring Boot Microservices with Spring Cloud</t>
  </si>
  <si>
    <t>W47-W61</t>
  </si>
  <si>
    <t>Microservices Clean Architecture DDD SAGA</t>
  </si>
  <si>
    <t>W51-W53</t>
  </si>
  <si>
    <t>Event-driven microservices Spring Kafka</t>
  </si>
  <si>
    <t>W50, W54</t>
  </si>
  <si>
    <t>Kafka</t>
  </si>
  <si>
    <t>The Complete Apache Kafka Practical Guide</t>
  </si>
  <si>
    <t>W49-W54</t>
  </si>
  <si>
    <t>Security</t>
  </si>
  <si>
    <t>Spring Security 6 Zero to Master</t>
  </si>
  <si>
    <t>Secure Coding OWASP Top 10</t>
  </si>
  <si>
    <t>/</t>
  </si>
  <si>
    <t>W64, W88</t>
  </si>
  <si>
    <t>Architecture</t>
  </si>
  <si>
    <t>Learning Domain-Driven Design (Khononov)</t>
  </si>
  <si>
    <t>W57, W87</t>
  </si>
  <si>
    <t>📖 6h</t>
  </si>
  <si>
    <t>Get Your Hands Dirty Clean Architecture</t>
  </si>
  <si>
    <t>W62, W97</t>
  </si>
  <si>
    <t>Designing Hexagonal Architecture Java</t>
  </si>
  <si>
    <t>📖 3h</t>
  </si>
  <si>
    <t>GitOps</t>
  </si>
  <si>
    <t>Mastering GitOps with Argo CD</t>
  </si>
  <si>
    <t>DevOps</t>
  </si>
  <si>
    <t>DevOps Projects - 20 Real Time</t>
  </si>
  <si>
    <t>W71-W79</t>
  </si>
  <si>
    <t>15h</t>
  </si>
  <si>
    <t>DevSecOps Bootcamp</t>
  </si>
  <si>
    <t>HashiCorp Vault Operations</t>
  </si>
  <si>
    <t>AWS Pro</t>
  </si>
  <si>
    <t>AWS Solutions Architect Professional</t>
  </si>
  <si>
    <t>W75-W121</t>
  </si>
  <si>
    <t>60h</t>
  </si>
  <si>
    <t>AWS DevOps Engineer Professional</t>
  </si>
  <si>
    <t>AWS Advanced Networking Specialty</t>
  </si>
  <si>
    <t>W78, W104</t>
  </si>
  <si>
    <t>TOTAL FORMATION</t>
  </si>
  <si>
    <t>~300h</t>
  </si>
  <si>
    <t>🏗️ Évolution du projet TeamPulse</t>
  </si>
  <si>
    <t>Période</t>
  </si>
  <si>
    <t>État TeamPulse</t>
  </si>
  <si>
    <t>Nouvelles features</t>
  </si>
  <si>
    <t>Stack ajoutée</t>
  </si>
  <si>
    <t>Heures projet</t>
  </si>
  <si>
    <t>M1-M6</t>
  </si>
  <si>
    <t>~100h</t>
  </si>
  <si>
    <t>M7-M15</t>
  </si>
  <si>
    <t>~200h</t>
  </si>
  <si>
    <t>M16-M28</t>
  </si>
  <si>
    <t>Extension</t>
  </si>
  <si>
    <t>Semaines clés</t>
  </si>
  <si>
    <t>ADRs justifiés</t>
  </si>
  <si>
    <t>Critères d'acceptation (DoD)</t>
  </si>
  <si>
    <t>Stack technique</t>
  </si>
  <si>
    <t>🟠 LocalStack vs AWS réel — Stratégie hybride par plage de semaines</t>
  </si>
  <si>
    <t>LocalStack couvre ~80% du parcours. Cette feuille indique quand allumer le vrai AWS (EKS, IAM eval fine, multi-account, Transit Gateway) et combien ça devrait coûter avec discipline de teardown systématique. Total estimé sur 28 mois : ~150-220€ (vs ~2000-3000€ sans LocalStack).</t>
  </si>
  <si>
    <t>Plage</t>
  </si>
  <si>
    <t>Services concernés</t>
  </si>
  <si>
    <t>Justification</t>
  </si>
  <si>
    <t>Coût estimé</t>
  </si>
  <si>
    <t>W01-W08</t>
  </si>
  <si>
    <t>M1-M2</t>
  </si>
  <si>
    <t>💻 Local pur</t>
  </si>
  <si>
    <t>Docker, Spring Boot, PostgreSQL, GitLab CI</t>
  </si>
  <si>
    <t>Aucun service AWS requis. Tout en docker-compose + LocalStack démarré mais non utilisé.</t>
  </si>
  <si>
    <t>0€</t>
  </si>
  <si>
    <t>🟢 LocalStack Community</t>
  </si>
  <si>
    <t>IAM, VPC, EC2, ALB, RDS, CloudWatch</t>
  </si>
  <si>
    <t>Apprentissage AWS Practitioner. LocalStack émule tout suffisamment. Allume vrai AWS 2h pour ressentir l'UI console.</t>
  </si>
  <si>
    <t>~2€</t>
  </si>
  <si>
    <t>Terraform avec provider toggle local/aws</t>
  </si>
  <si>
    <t>Idéal pour Terraform : itération rapide (apply en 5s). Habituer la discipline `terraform destroy` systématique.</t>
  </si>
  <si>
    <t>W17-W20</t>
  </si>
  <si>
    <t>🟡 Hybride</t>
  </si>
  <si>
    <t>S3 lifecycle, KMS, VPC endpoints, SSM</t>
  </si>
  <si>
    <t>LocalStack OK pour la majorité. 2-3h de vrai AWS pour IAM policy evaluation fine (LocalStack permissif).</t>
  </si>
  <si>
    <t>W21-W26</t>
  </si>
  <si>
    <t>🟠 LocalStack Pro (1 mois) + vrai AWS</t>
  </si>
  <si>
    <t>SAA-C03 : tout le scope (compute/data/sec/net)</t>
  </si>
  <si>
    <t>Sprint intensif certif. LocalStack Pro débloque ECS/EKS/Athena. Vrai AWS pour 3-4 labs critiques (cross-account, KMS grants).</t>
  </si>
  <si>
    <t>~35€ Pro + ~10€ AWS</t>
  </si>
  <si>
    <t>W27-W31</t>
  </si>
  <si>
    <t>💻 Local (kind/minikube)</t>
  </si>
  <si>
    <t>Kubernetes pur (pods, services, ingress)</t>
  </si>
  <si>
    <t>K8s local avec kind ou minikube. Aucun AWS.</t>
  </si>
  <si>
    <t>🔴 Vrai AWS (1 jour)</t>
  </si>
  <si>
    <t>LocalStack EKS = trop dégradé. Allumer EKS, déployer chart Helm, valider IRSA + ALB controller, teardown LE SOIR MÊME.</t>
  </si>
  <si>
    <t>~5€</t>
  </si>
  <si>
    <t>W33-W37</t>
  </si>
  <si>
    <t>M8-M9</t>
  </si>
  <si>
    <t>💻 Local (kind)</t>
  </si>
  <si>
    <t>K8s avancé : HPA, storage, RBAC, network policies</t>
  </si>
  <si>
    <t>Retour sur kind/minikube pour itérer rapidement, moins cher, plus rapide.</t>
  </si>
  <si>
    <t>2e session EKS pour valider ops réelles (autoscaler, observabilité, IRSA, secrets ext.). Teardown le soir.</t>
  </si>
  <si>
    <t>W39-W46</t>
  </si>
  <si>
    <t>M10-M11</t>
  </si>
  <si>
    <t>Observabilité (Prometheus / Grafana / OTel)</t>
  </si>
  <si>
    <t>Stack obs tourne en local complet. Aucun besoin AWS pour ce bloc.</t>
  </si>
  <si>
    <t>W47-W65</t>
  </si>
  <si>
    <t>M12-M15</t>
  </si>
  <si>
    <t>🟢 LocalStack + Kafka local</t>
  </si>
  <si>
    <t>Microservices, Kafka, Spring Cloud, outbox/saga</t>
  </si>
  <si>
    <t>Tout en docker-compose : Kafka + Zookeeper + postgres + redis + services + Angular. LocalStack S3 si export.</t>
  </si>
  <si>
    <t>W66-W74</t>
  </si>
  <si>
    <t>M16-M17</t>
  </si>
  <si>
    <t>Terraform avancé, GitOps, ArgoCD, canary</t>
  </si>
  <si>
    <t>Terraform sur LocalStack OK. ArgoCD sur cluster kind. 1 journée EKS pour valider canary réel + rollback auto.</t>
  </si>
  <si>
    <t>W75-W77</t>
  </si>
  <si>
    <t>🔴 Vrai AWS (DR + multi-account)</t>
  </si>
  <si>
    <t>AWS Organizations, multi-account, backup/restore</t>
  </si>
  <si>
    <t>AWS Organizations = pas émulable. Créer 3 sous-comptes, tester baseline + SCPs + agrégation logs, teardown.</t>
  </si>
  <si>
    <t>~10€</t>
  </si>
  <si>
    <t>🔴 Vrai AWS (1-2 jours)</t>
  </si>
  <si>
    <t>Transit Gateway, VPC peering</t>
  </si>
  <si>
    <t>TGW = $0.05/h + data transfer. Discipline teardown obligatoire (alarme budget à 5€). Window de 2 jours max.</t>
  </si>
  <si>
    <t>W79-W93</t>
  </si>
  <si>
    <t>M19-M22</t>
  </si>
  <si>
    <t>Perf, hardening, observabilité avancée, chaos</t>
  </si>
  <si>
    <t>Retour LocalStack. Game days de chaos en local sur cluster kind.</t>
  </si>
  <si>
    <t>W94-W100</t>
  </si>
  <si>
    <t>M23-M24</t>
  </si>
  <si>
    <t>💻 Local</t>
  </si>
  <si>
    <t>Drills, system design, portfolio v3</t>
  </si>
  <si>
    <t>Local pur, focus écriture/design/postmortems.</t>
  </si>
  <si>
    <t>W101-W110</t>
  </si>
  <si>
    <t>M24-M26</t>
  </si>
  <si>
    <t>SAP-C02 : tout le scope (migration / network / DR)</t>
  </si>
  <si>
    <t>Sprint intensif certif. LocalStack Pro + 1-2 journées vrai AWS pour scénarios migration, networking complexes, DR multi-region.</t>
  </si>
  <si>
    <t>~35€ Pro + ~15€ AWS</t>
  </si>
  <si>
    <t>W111-W122</t>
  </si>
  <si>
    <t>M27-M28</t>
  </si>
  <si>
    <t>Mocks SAP, révisions, portfolio final</t>
  </si>
  <si>
    <t>Local pur. Aucune dépense AWS sur la dernière ligne droite.</t>
  </si>
  <si>
    <t>A3-M1+</t>
  </si>
  <si>
    <t>🟡 Variable selon axe</t>
  </si>
  <si>
    <t>Dépend de l'axe principal choisi (A/B/C/D)</t>
  </si>
  <si>
    <t>Axe A (Platform), B (Sec), D (Data) = mostly LocalStack + kind. Axe C (Network) nécessite plus de vrai AWS (TGW, DX, multi-region).</t>
  </si>
  <si>
    <t>10-30€/mois si Axe C</t>
  </si>
  <si>
    <t>TOTAL estimé sur 28 mois</t>
  </si>
  <si>
    <t>~150-220€</t>
  </si>
  <si>
    <t>💡 Discipline de teardown (économise 80% des coûts réels)</t>
  </si>
  <si>
    <t>• Toute session AWS réelle se termine par `terraform destroy` + vérification console (10 min max).</t>
  </si>
  <si>
    <t>• Budget AWS : alarme à 5€/semaine, 20€/mois absolu. Si dépassé : audit immédiat des ressources.</t>
  </si>
  <si>
    <t>• Tags obligatoires : owner=moussab, project=teampulse, lifetime=ephemeral|persistent. Script de nettoyage = tag:lifetime=ephemeral &amp;&amp; age&gt;24h.</t>
  </si>
  <si>
    <t>• EKS : ne JAMAIS laisser tourner la nuit. Coût = ~$0.10/h control plane + nodes. Teardown ou scale-to-zero impératif.</t>
  </si>
  <si>
    <t>• Snapshots RDS : free tier 20Go. Au-delà : delete après teardown de l'instance.</t>
  </si>
  <si>
    <t>• LocalStack Pro : prendre par mois (~30-35$), pas annuel. Souscris seulement W21-W26 et W101-W110.</t>
  </si>
  <si>
    <t>• Bonus : repo aws-labs-teampulse séparé du projet principal pour les expériences AWS jetables.</t>
  </si>
  <si>
    <t>• Provider Terraform : utilise une variable local_dev=true|false qui bascule les endpoints LocalStack ↔ AWS.</t>
  </si>
  <si>
    <t>🛠️ TeamPulse — Guide d’exécution technique semaine par semaine (W001 à W122)</t>
  </si>
  <si>
    <t>Cette feuille complète « Planning Détaillé » : elle indique quoi coder, quoi configurer côté infrastructure/DevOps/Cloud, comment vérifier que cela fonctionne et quel artefact conserver. Les lignes BUFFER du planning principal restent des semaines de rattrapage : elles ne créent pas de nouvelles features.</t>
  </si>
  <si>
    <t>INFRA / DEVOPS
Local-first + LocalStack pour limiter les coûts ; vrai AWS uniquement pour les labs identifiés. Tout lab cloud doit finir par contrôle coût / teardown.</t>
  </si>
  <si>
    <t>MÉTHODE
Chaque semaine : un commit exploitable, une preuve de validation et un artefact architecte (ADR, diagramme, runbook, dashboard ou postmortem).</t>
  </si>
  <si>
    <t>Compétence appliquée</t>
  </si>
  <si>
    <t>Objectif TeamPulse</t>
  </si>
  <si>
    <t>Code à produire</t>
  </si>
  <si>
    <t>Infra / DevOps / Cloud</t>
  </si>
  <si>
    <t>Validation concrète</t>
  </si>
  <si>
    <t>Artefact à conserver</t>
  </si>
  <si>
    <t>Definition of Done</t>
  </si>
  <si>
    <t>Mode / coût</t>
  </si>
  <si>
    <t>Statut</t>
  </si>
  <si>
    <t>Docker / bootstrap</t>
  </si>
  <si>
    <t>Créer le socle monolithe modulaire TeamPulse et le lancer en conteneur.</t>
  </si>
  <si>
    <t>Local pur</t>
  </si>
  <si>
    <t>⬜ À faire</t>
  </si>
  <si>
    <t>Docker Compose / persistence</t>
  </si>
  <si>
    <t>Rendre le stockage local fiable et démarrer le modèle équipe.</t>
  </si>
  <si>
    <t>Diagramme app↔DB + collection HTTP</t>
  </si>
  <si>
    <t>Docker sécurité</t>
  </si>
  <si>
    <t>Produire une image backend plus petite et moins risquée.</t>
  </si>
  <si>
    <r>
      <rPr>
        <sz val="409.55"/>
        <color rgb="FF111827"/>
        <rFont val="Calibri"/>
      </rPr>
      <t xml:space="preserve">• Séparer build/runtime ; exécuter l’application en utilisateur non-root.
• Ajouter configuration externalisée et gestion des erreurs API standard.
• Créer tests unitaires du service User/Team.
</t>
    </r>
    <r>
      <rPr>
        <sz val="409.55"/>
        <color rgb="FF111827"/>
        <rFont val="Calibri"/>
      </rPr>
      <t xml:space="preserve">
🔎 Détail technique
Durcissement applicatif :
  Désactiver les endpoints actuator sensibles en prod
    management.endpoints.web.exposure.include: health,info,metrics,prometheus
    management.endpoint.health.show-details: when-authorized
  ProblemDetail pour ne PAS leaker de stacktrace
  server.error.include-stacktrace: never, include-message: never</t>
    </r>
  </si>
  <si>
    <r>
      <rPr>
        <sz val="409.55"/>
        <color rgb="FF111827"/>
        <rFont val="Calibri"/>
      </rPr>
      <t xml:space="preserve">• Créer .dockerignore ; fixer tags image.
• Scanner l’image et lister les vulnérabilités critiques à corriger.
• Documenter la commande build/run.
</t>
    </r>
    <r>
      <rPr>
        <sz val="409.55"/>
        <color rgb="FF111827"/>
        <rFont val="Calibri"/>
      </rPr>
      <t xml:space="preserve">
🔎 Détail technique
Dockerfile sécurisé (hardening) :
  • Image digest pinné (@sha256:...) pas de tag mutable
  • USER 1000:1000 non-root explicite
  • Filesystem read-only : --read-only + tmpfs /tmp
  • HEALTHCHECK CMD wget -q --spider .../health || exit 1
  • Multi-stage : aucun outil de build dans l'image finale
  • COPY --chown=1000:1000, jamais ADD
.dockerignore : target/, .git/, *.md, .env, .idea/
Scan local : docker scout cves &lt;image&gt;  OU  trivy image &lt;image&gt;
docker-compose : security_opt no-new-privileges, cap_drop ALL
Limites : deploy.resources.limits cpus/memory</t>
    </r>
  </si>
  <si>
    <t>• Comparer taille image avant/après.
• Conteneur démarre sous utilisateur non-root.
• Tests Maven passent dans l’image de build.</t>
  </si>
  <si>
    <t>ADR-001 packaging container</t>
  </si>
  <si>
    <t>Image versionnée, scannée, reproductible et non-root.</t>
  </si>
  <si>
    <t>Observabilité locale + UI bootstrap</t>
  </si>
  <si>
    <r>
      <rPr>
        <sz val="409.55"/>
        <color rgb="FF111827"/>
        <rFont val="Calibri"/>
      </rPr>
      <t xml:space="preserve">• Exposer health, info et metrics Actuator localement.
• Ajouter frontend au docker-compose en mode dev.
• Configurer CORS uniquement pour localhost.
</t>
    </r>
    <r>
      <rPr>
        <sz val="409.55"/>
        <color rgb="FFC2410C"/>
        <rFont val="Calibri"/>
      </rPr>
      <t xml:space="preserve">
🔎 Détail technique
Stack observabilité locale (docker-compose) :
  prometheus : scrape api:8080/actuator/prometheus (15s)
    prometheus.yml monté en volume
  grafana : provisioning datasource Prometheus auto
    dashboards JSON provisionnés dans /etc/grafana/provisioning
  (option) loki + promtail pour logs centralisés
logback-spring.xml : appender JSON conditionné par profil
  &lt;springProfile name="local"&gt; console lisible &lt;/springProfile&gt;
  &lt;springProfile name="!local"&gt; LogstashEncoder JSON &lt;/springProfile&gt;
Angular dev : proxy.conf.json → /api vers http://api:8080
make up lance désormais : db + api + prometheus + grafana + ui</t>
    </r>
  </si>
  <si>
    <t>Checklist DoD container + capture UI</t>
  </si>
  <si>
    <t>CI build/test</t>
  </si>
  <si>
    <t>Automatiser la compilation et les tests à chaque push.</t>
  </si>
  <si>
    <r>
      <rPr>
        <sz val="10"/>
        <color rgb="FF111827"/>
        <rFont val="Calibri"/>
      </rPr>
      <t xml:space="preserve">• Stabiliser tests unitaires identity/team.
• Ajouter test d’intégration PostgreSQL/Testcontainers pour membership tenantée.
• Corriger le build pour exécution non interactive.
</t>
    </r>
    <r>
      <rPr>
        <sz val="10"/>
        <color rgb="FFC2410C"/>
        <rFont val="Calibri"/>
      </rPr>
      <t xml:space="preserve">
🔎 Détail technique
Tests automatisés (base CI) :
  Unitaires JUnit 5 + Mockito sur les services
  Tests d'intégration Testcontainers (PostgreSQL réel, jamais H2) :
    @Testcontainers @Container PostgreSQLContainer&lt;&gt;("postgres:16")
    @DynamicPropertySource pour injecter l'URL
  Couverture JaCoCo, seuil minimal 70% (échoue sinon)
ArchUnit (préparation) : règles de dépendance entre modules
  domain ne dépend pas de infrastructure</t>
    </r>
  </si>
  <si>
    <r>
      <rPr>
        <sz val="10"/>
        <color rgb="FF111827"/>
        <rFont val="Calibri"/>
      </rPr>
      <t xml:space="preserve">• Créer dépôt GitLab et .gitlab-ci.yml : build, test, cache Maven/npm.
• Générer rapports tests en artefacts.
• Définir règles branches merge request.
</t>
    </r>
    <r>
      <rPr>
        <sz val="10"/>
        <color rgb="FFC2410C"/>
        <rFont val="Calibri"/>
      </rPr>
      <t xml:space="preserve">
🔎 Détail technique
Pipeline CI (.gitlab-ci.yml ou GitHub Actions) :
  stages: build → test → quality
  build :
    image maven:3.9-eclipse-temurin-21
    cache .m2/repository (key: pom.xml hash)
    mvn -B -pl tp-app -am package -DskipTests
  test :
    services: docker:dind (pour Testcontainers)
    DOCKER_HOST=tcp://docker:2376, TESTCONTAINERS_RYUK_DISABLED=true
    mvn -B verify  (lance Testcontainers)
    artifacts: target/site/jacoco (report)
Cache Maven = build &lt; 2 min. Fail fast sur test rouge.</t>
    </r>
  </si>
  <si>
    <t>• Push volontairement cassé : pipeline rouge.
• Correction : pipeline vert avec rapports consultables.
• Aucun accès prod ni secret dans CI.</t>
  </si>
  <si>
    <t>README CI + pipeline vert</t>
  </si>
  <si>
    <t>Merge impossible si tests échouent.</t>
  </si>
  <si>
    <t>Local/CI</t>
  </si>
  <si>
    <t>CI image/registry</t>
  </si>
  <si>
    <t>Construire et publier une image traçable.</t>
  </si>
  <si>
    <r>
      <rPr>
        <sz val="10"/>
        <color rgb="FF111827"/>
        <rFont val="Calibri"/>
      </rPr>
      <t xml:space="preserve">• Ajouter version applicative et endpoint info version/build.
• Préparer migrations Flyway idempotentes pour pipeline.
</t>
    </r>
    <r>
      <rPr>
        <sz val="10"/>
        <color rgb="FFC2410C"/>
        <rFont val="Calibri"/>
      </rPr>
      <t xml:space="preserve">
🔎 Détail technique
Build d'image reproductible :
  Versioning sémantique via tag git → image tag
  Build info dans /actuator/info (git-commit-id-maven-plugin)
  Layered jar Spring Boot (extraire dependencies/spring-boot-loader)
    → meilleur cache de layers Docker</t>
    </r>
  </si>
  <si>
    <r>
      <rPr>
        <sz val="10"/>
        <color rgb="FF111827"/>
        <rFont val="Calibri"/>
      </rPr>
      <t xml:space="preserve">• Ajouter job package et build image ; pousser dans registry.
• Tagger image par commit SHA + tag release.
• Ajouter scan container non bloquant au début.
</t>
    </r>
    <r>
      <rPr>
        <sz val="10"/>
        <color rgb="FFC2410C"/>
        <rFont val="Calibri"/>
      </rPr>
      <t xml:space="preserve">
🔎 Détail technique
CI build &amp; push image vers registry :
  stage: package
    image gcr.io/kaniko-project/executor (build sans daemon Docker)
    OU docker buildx avec docker:dind
    /kaniko/executor --dockerfile Dockerfile
      --destination $REGISTRY/teampulse-api:$CI_COMMIT_SHORT_SHA
      --destination $REGISTRY/teampulse-api:latest
    --cache=true --cache-repo=$REGISTRY/cache
GitLab Container Registry (ou GHCR) :
  login via $CI_REGISTRY_USER / $CI_REGISTRY_PASSWORD (CI_JOB_TOKEN)
  retention policy : garder 30 tags récents
Tag immutable = SHA ; 'latest' = commodité dev seulement</t>
    </r>
  </si>
  <si>
    <t>• Pull image depuis registry et lancer avec compose.
• Endpoint /actuator/info affiche la version attendue.
• Scan produit un rapport archivé.</t>
  </si>
  <si>
    <t>ADR-002 stratégie CI/image</t>
  </si>
  <si>
    <t>Chaque commit validé produit une image identifiable.</t>
  </si>
  <si>
    <t>Quality gates</t>
  </si>
  <si>
    <t>Empêcher la dette de qualité dès le début.</t>
  </si>
  <si>
    <r>
      <rPr>
        <sz val="10"/>
        <color rgb="FF111827"/>
        <rFont val="Calibri"/>
      </rPr>
      <t xml:space="preserve">• Ajouter JaCoCo, Checkstyle/SpotBugs et tests cas isolation tenant.
• Ajouter lint/test Angular basiques.
</t>
    </r>
    <r>
      <rPr>
        <sz val="10"/>
        <color rgb="FFC2410C"/>
        <rFont val="Calibri"/>
      </rPr>
      <t xml:space="preserve">
🔎 Détail technique
Quality gates :
  SonarQube/SonarCloud : coverage, code smells, duplications,
    security hotspots ; quality gate bloquant en CI
  Spotless (format) + Checkstyle (conventions) en pre-commit
  SpotBugs/ErrorProne : null-checks, ressources non fermées
  OWASP Dependency-Check : CVE sur dépendances</t>
    </r>
  </si>
  <si>
    <r>
      <rPr>
        <sz val="10"/>
        <color rgb="FF111827"/>
        <rFont val="Calibri"/>
      </rPr>
      <t xml:space="preserve">• Créer stage quality avec seuil de couverture initial réaliste.
• Rendre le rapport qualité visible dans pipeline.
• Définir politique d’exception documentée.
</t>
    </r>
    <r>
      <rPr>
        <sz val="10"/>
        <color rgb="FFC2410C"/>
        <rFont val="Calibri"/>
      </rPr>
      <t xml:space="preserve">
🔎 Détail technique
CI quality gates (bloquants) :
  stage: quality
    sonar :
      mvn sonar:sonar -Dsonar.projectKey=teampulse
        -Dsonar.qualitygate.wait=true   # bloque si gate KO
    spotless : mvn spotless:check
    dependency-check :
      mvn org.owasp:dependency-check-maven:check
        -DfailBuildOnCVSS=7
Pre-commit hook (.pre-commit-config.yaml) :
  spotless:apply, mvn -q compile
Branch protection : MR/PR ne merge pas si CI rouge
Badge coverage + quality dans le README</t>
    </r>
  </si>
  <si>
    <t>• Introduire une violation et vérifier échec pipeline.
• Couverture service critique respectée.
• Test tenant A ≠ tenant B exécuté automatiquement.</t>
  </si>
  <si>
    <t>Qualité minimale bloquante et test isolation actif.</t>
  </si>
  <si>
    <t>Déploiement dev + sécurité tenant</t>
  </si>
  <si>
    <t>Déployer automatiquement une version dev et sécuriser le contexte organisation.</t>
  </si>
  <si>
    <r>
      <rPr>
        <sz val="409.55"/>
        <color rgb="FF111827"/>
        <rFont val="Calibri"/>
      </rPr>
      <t xml:space="preserve">• Créer job deploy dev vers docker-compose/VM de test.
• Externaliser secrets via variables CI protégées.
• Ajouter job rollback vers image précédente.
</t>
    </r>
    <r>
      <rPr>
        <sz val="409.55"/>
        <color rgb="FFC2410C"/>
        <rFont val="Calibri"/>
      </rPr>
      <t xml:space="preserve">
🔎 Détail technique
Déploiement dev + secrets tenant :
  Clé RSA : openssl genrsa 2048 → private.pem / public.pem
  Stockée dans LocalStack Secrets Manager (POC pattern AWS) :
    awslocal secretsmanager create-secret
      --name teampulse/jwt/private --secret-string file://private.pem
  public.pem exposé via /.well-known/jwks.json (prep gateway P2)
Headers sécurité (SecurityFilterChain) :
  HSTS, X-Frame-Options DENY, X-Content-Type-Options nosniff
  CORS origins explicites (jamais *), CSRF off (API stateless)
Métriques : auth_login_total{success}, auth_refresh_total,
  auth_missing_tenant_context_total (ALERTE si &gt; 0)
Déploiement dev : compose up avec profil dev + secret monté</t>
    </r>
  </si>
  <si>
    <t>AWS IAM foundations</t>
  </si>
  <si>
    <t>Préparer un compte AWS exploitable sans exposer de droits inutiles.</t>
  </si>
  <si>
    <t>• Créer interface Storage/Audit abstraite pour future intégration AWS.
• Ajouter configuration par profil localstack/aws.</t>
  </si>
  <si>
    <t>• Configurer compte AWS : MFA, budget d’alerte, utilisateur/role d’apprentissage.
• Écrire policy minimale pour déploiements TeamPulse.
• Configurer AWS CLI avec profil dédié, jamais de clés dans repo.</t>
  </si>
  <si>
    <t>• aws sts get-caller-identity fonctionne avec rôle dédié.
• Tentative action interdite échoue.
• Alerte budget créée.</t>
  </si>
  <si>
    <t>ADR-003 IAM approach + checklist compte AWS</t>
  </si>
  <si>
    <t>Compte protégé, profil local/real séparé et permissions minimales.</t>
  </si>
  <si>
    <t>LocalStack + courte session AWS</t>
  </si>
  <si>
    <t>AWS réseau</t>
  </si>
  <si>
    <t>Dessiner puis créer le réseau de déploiement TeamPulse.</t>
  </si>
  <si>
    <t>• Rendre l’API indépendante de localhost : variables URL DB/API frontend.
• Ajouter configuration trusted proxy/forwarded headers.</t>
  </si>
  <si>
    <t>• Créer architecture VPC 2 AZ : subnets public/private, route tables, IGW, NAT à limiter.
• Définir security groups ALB→App→RDS.
• Reproduire d’abord en Terraform brouillon/LocalStack si possible.</t>
  </si>
  <si>
    <t>• Diagramme associe chaque flux à un SG.
• Aucun port DB public.
• Connexion API→DB prévue uniquement depuis app SG.</t>
  </si>
  <si>
    <t>Réseau documenté, règles entrantes minimales et coût NAT identifié.</t>
  </si>
  <si>
    <t>LocalStack / design AWS</t>
  </si>
  <si>
    <t>EC2 + ALB</t>
  </si>
  <si>
    <t>Exposer TeamPulse via un point d’entrée HTTP managé.</t>
  </si>
  <si>
    <t>• Ajouter endpoint readiness distinct du health DB si nécessaire.
• Créer script de démarrage container backend avec paramètres prod-like.</t>
  </si>
  <si>
    <t>• Créer EC2 de lab et ALB/Target Group avec healthcheck.
• Pousser image et exécuter backend sur EC2.
• Configurer logs de démarrage et teardown en fin de lab.</t>
  </si>
  <si>
    <t>• ALB retourne l’API health.
• Arrêter l’instance cible rend target unhealthy.
• Supprimer ressources facturables après lab.</t>
  </si>
  <si>
    <t>Runbook incident 5xx ALB</t>
  </si>
  <si>
    <t>API joignable derrière ALB et panne simple diagnostiquable.</t>
  </si>
  <si>
    <t>Vrai AWS lab court</t>
  </si>
  <si>
    <t>RDS + CloudWatch</t>
  </si>
  <si>
    <t>Passer de la DB locale à une donnée managée observable.</t>
  </si>
  <si>
    <t>• Valider migrations Flyway contre PostgreSQL RDS.
• Ajouter audit event de création Team/User dans DB.</t>
  </si>
  <si>
    <t>• Créer RDS privé + SG uniquement depuis application.
• Envoyer logs applicatifs vers CloudWatch ; créer alarmes CPU/5xx.
• Stocker mot de passe via secret/parameter et teardown selon budget.</t>
  </si>
  <si>
    <t>• API persiste une équipe dans RDS.
• Alarme testée ou simulée.
• Backup/restore concept documenté.</t>
  </si>
  <si>
    <t>Checklist Ops minimum + runbook DB connectivité</t>
  </si>
  <si>
    <t>Application AWS possède données privées, logs et alarme de base.</t>
  </si>
  <si>
    <t>Terraform bootstrap</t>
  </si>
  <si>
    <t>Coder l’infrastructure au lieu de la refaire à la main.</t>
  </si>
  <si>
    <r>
      <rPr>
        <sz val="10"/>
        <color rgb="FF111827"/>
        <rFont val="Calibri"/>
      </rPr>
      <t xml:space="preserve">• Séparer configuration applicative par env sans duplication de code.
• Documenter prérequis application pour infra.
</t>
    </r>
    <r>
      <rPr>
        <sz val="10"/>
        <color rgb="FFC2410C"/>
        <rFont val="Calibri"/>
      </rPr>
      <t xml:space="preserve">
🔎 Détail technique
(Semaine infra — pas de code applicatif majeur)
Côté app : exposer les variables d'env attendues par l'infra
  (DB_HOST, DB_PORT, AWS_ENDPOINT_URL) ; aucune valeur en dur
12-factor : toute config par variable d'environnement</t>
    </r>
  </si>
  <si>
    <r>
      <rPr>
        <sz val="10"/>
        <color rgb="FF111827"/>
        <rFont val="Calibri"/>
      </rPr>
      <t xml:space="preserve">• Initialiser repo/module Terraform : provider, state local de lab, tags.
• Coder VPC/subnets/routes/security groups.
• Configurer toggle LocalStack/AWS si gardé dans ton fichier.
</t>
    </r>
    <r>
      <rPr>
        <sz val="10"/>
        <color rgb="FFC2410C"/>
        <rFont val="Calibri"/>
      </rPr>
      <t xml:space="preserve">
🔎 Détail technique
Terraform bootstrap (toggle local/aws) :
  provider "aws" {
    region = var.region
    access_key = var.local_dev ? "test" : null
    secret_key = var.local_dev ? "test" : null
    skip_credentials_validation = var.local_dev
    skip_requests_logging       = var.local_dev
    dynamic "endpoints" {
      for_each = var.local_dev ? [1] : []
      content { s3="http://localhost:4566" sqs="..." }
    }
  }
Structure : envs/{local,dev}/  +  modules/{network,compute,data}/
backend local pour démarrer (remote state en W067)
terraform fmt + validate en pré-commit
make tf-plan / tf-apply / tf-destroy (avec var-file par env)
Discipline : terraform destroy systématique en fin de session</t>
    </r>
  </si>
  <si>
    <t>• terraform fmt/validate/plan passent.
• Apply puis destroy en LocalStack ou compte lab.
• Plan lisible sans changement imprévu.</t>
  </si>
  <si>
    <t>ADR-004 choix Terraform + structure infra</t>
  </si>
  <si>
    <t>Réseau recréable et destructible par IaC.</t>
  </si>
  <si>
    <t>LocalStack d’abord</t>
  </si>
  <si>
    <t>Terraform compute</t>
  </si>
  <si>
    <t>Provisionner l’hébergement de l’API par modules.</t>
  </si>
  <si>
    <r>
      <rPr>
        <sz val="10"/>
        <color rgb="FF111827"/>
        <rFont val="Calibri"/>
      </rPr>
      <t xml:space="preserve">• Créer image versionnée consommable par script déploiement.
• Préparer user-data ou mécanisme pull/run container.
</t>
    </r>
    <r>
      <rPr>
        <sz val="10"/>
        <color rgb="FFC2410C"/>
        <rFont val="Calibri"/>
      </rPr>
      <t xml:space="preserve">
🔎 Détail technique
(Semaine infra)
App : readiness/liveness probes alignées avec l'ALB health check
  /actuator/health/readiness et /health/liveness
  management.endpoint.health.probes.enabled: true</t>
    </r>
  </si>
  <si>
    <r>
      <rPr>
        <sz val="10"/>
        <color rgb="FF111827"/>
        <rFont val="Calibri"/>
      </rPr>
      <t xml:space="preserve">• Créer modules ALB, Target Group, EC2/ASG et outputs DNS.
• Brancher SG ALB→App.
• Ajouter variables env/tags/coûts.
</t>
    </r>
    <r>
      <rPr>
        <sz val="10"/>
        <color rgb="FFC2410C"/>
        <rFont val="Calibri"/>
      </rPr>
      <t xml:space="preserve">
🔎 Détail technique
Terraform module compute :
  module network/ : aws_vpc, 2 subnets publics + 2 privés (2 AZ),
    aws_internet_gateway, aws_nat_gateway, route tables
  module compute/ :
    aws_security_group alb (80/443 depuis 0.0.0.0/0)
    aws_security_group app (8080 depuis SG alb uniquement)
    aws_lb (ALB) + aws_lb_target_group (health /actuator/health)
    aws_launch_template + aws_autoscaling_group (min 1 max 3)
  outputs : alb_dns_name, vpc_id, private_subnet_ids
LocalStack d'abord (apply en ~5s, itération rapide)
puis 1 session AWS courte pour valider le vrai ALB → teardown</t>
    </r>
  </si>
  <si>
    <t>• Apply génère DNS ; health ALB vert.
• Changer version image redéploie l’application.
• Destroy supprime tout.</t>
  </si>
  <si>
    <t>Diagramme infra v2 + output Terraform</t>
  </si>
  <si>
    <t>Compute TeamPulse reproductible via IaC.</t>
  </si>
  <si>
    <t>LocalStack puis AWS court</t>
  </si>
  <si>
    <t>Terraform data/secrets</t>
  </si>
  <si>
    <t>Provisionner les données et le secret applicatif de façon propre.</t>
  </si>
  <si>
    <r>
      <rPr>
        <sz val="10"/>
        <color rgb="FF111827"/>
        <rFont val="Calibri"/>
      </rPr>
      <t xml:space="preserve">• Ajouter chiffrement de données sensibles minimal (pas de blocker texte en log).
• Préparer migrations Pulse/Audit futures avec org_id.
</t>
    </r>
    <r>
      <rPr>
        <sz val="10"/>
        <color rgb="FFC2410C"/>
        <rFont val="Calibri"/>
      </rPr>
      <t xml:space="preserve">
🔎 Détail technique
Tenant context au niveau session PostgreSQL (RLS) :
  StatementInspector Hibernate OU HikariCP connectionInitSql :
    SET app.current_org_id = &lt;orgId&gt; en début de transaction
  application.yml :
    hibernate.session_factory.statement_inspector:
      com.teampulse.tenant.TenantContextInjector</t>
    </r>
  </si>
  <si>
    <r>
      <rPr>
        <sz val="10"/>
        <color rgb="FF111827"/>
        <rFont val="Calibri"/>
      </rPr>
      <t xml:space="preserve">• Coder RDS privé, subnet group, secret/parameter et injection de config.
• Interdire mot de passe dans variables versionnées.
• Configurer sauvegarde de lab raisonnable.
</t>
    </r>
    <r>
      <rPr>
        <sz val="10"/>
        <color rgb="FFC2410C"/>
        <rFont val="Calibri"/>
      </rPr>
      <t xml:space="preserve">
🔎 Détail technique
Terraform module data + secrets :
  aws_db_instance postgres 16.3 (db.t4g.micro)
    db_subnet_group sur 2 AZ privées
    SG : 5432 depuis SG app uniquement
    storage_encrypted=true, kms_key_id=...
    backup_retention_period=7, backup_window 03:00-04:00
  aws_secretsmanager_secret (password) + rotation 30j
  outputs via SSM Parameter Store
Flyway V002__rls_policies.sql :
  ALTER TABLE users ENABLE ROW LEVEL SECURITY;
  ALTER TABLE users FORCE ROW LEVEL SECURITY;
  CREATE POLICY tenant_iso ON users
    USING (org_id = current_setting('app.current_org_id', true)::bigint);
  (idem teams, team_members, audit_events)
User SQL applicatif : NOT superuser, NOT bypassrls (fail-safe)</t>
    </r>
  </si>
  <si>
    <t>• Application se connecte à RDS en récupérant le secret.
• Rotation manuelle testée/documentée.
• Test cross-tenant reste vert sur DB déployée.</t>
  </si>
  <si>
    <t>Runbook restore DB + ADR-T03 isolation DB</t>
  </si>
  <si>
    <t>DB/secrets IaC, isolation et récupération documentées.</t>
  </si>
  <si>
    <t>Hybride</t>
  </si>
  <si>
    <t>Multi-env IaC</t>
  </si>
  <si>
    <t>Organiser dev/stage sans copier-coller incontrôlé.</t>
  </si>
  <si>
    <r>
      <rPr>
        <sz val="10"/>
        <color rgb="FF111827"/>
        <rFont val="Calibri"/>
      </rPr>
      <t xml:space="preserve">• Ajouter configuration Angular/API par environnement.
• Ajouter endpoint build metadata pour distinguer env.
</t>
    </r>
    <r>
      <rPr>
        <sz val="10"/>
        <color rgb="FFC2410C"/>
        <rFont val="Calibri"/>
      </rPr>
      <t xml:space="preserve">
🔎 Détail technique
(Semaine infra)
App : profils Spring par env (dev/staging/prod) via SPRING_PROFILES_ACTIVE
  valeurs injectées par l'IaC, jamais committées</t>
    </r>
  </si>
  <si>
    <r>
      <rPr>
        <sz val="10"/>
        <color rgb="FF111827"/>
        <rFont val="Calibri"/>
      </rPr>
      <t xml:space="preserve">• Créer dossiers/env vars dev et stage ; backend distant sécurisé.
• Ajouter pipeline plan sur MR et apply manuel sur branche protégée.
• Standardiser naming/tags.
</t>
    </r>
    <r>
      <rPr>
        <sz val="10"/>
        <color rgb="FFC2410C"/>
        <rFont val="Calibri"/>
      </rPr>
      <t xml:space="preserve">
🔎 Détail technique
Multi-env IaC reproductible :
  Layout :
    modules/        (network, compute, data, observability)
    envs/dev/ envs/staging/  (main.tf + terraform.tfvars)
  Chaque env = mêmes modules, tfvars différents
    (instance_type, min/max ASG, db_instance_class)
terraform workspace OU dossiers séparés (préférer dossiers)
DRY : variables + locals, jamais copier-coller un module
Validation : terraform plan diff entre dev et staging cohérent
Tagging obligatoire (default_tags du provider) :
  project=teampulse, env=${var.env}, owner=moussab,
  lifetime=ephemeral|persistent</t>
    </r>
  </si>
  <si>
    <t>• Plans dev/stage montrent ressources distinctes.
• Apply dev ne modifie pas stage.
• Destroy lab documenté.</t>
  </si>
  <si>
    <t>Convention repo IaC + matrice environnements</t>
  </si>
  <si>
    <t>Deux environnements indépendants et pipeline plan fiable.</t>
  </si>
  <si>
    <t>LocalStack + AWS ciblé</t>
  </si>
  <si>
    <t>HA / Auto Scaling</t>
  </si>
  <si>
    <t>Rendre le déploiement tolérant à la perte d’une instance.</t>
  </si>
  <si>
    <t>• Rendre backend stateless ; tokens JWT sans session serveur.
• Ajouter endpoint simple de version pour visualiser instances.</t>
  </si>
  <si>
    <t>• Configurer ASG sur deux AZ derrière ALB.
• Configurer health replacement et paramètres scaling de lab.
• Activer logs/metrics nécessaires.</t>
  </si>
  <si>
    <t>• Terminer une instance : service reste accessible.
• ASG remplace l’instance.
• Documenter compromis coût/HA.</t>
  </si>
  <si>
    <t>ADR-005 choix haute disponibilité</t>
  </si>
  <si>
    <t>API stateless disponible lors de la perte d’une cible.</t>
  </si>
  <si>
    <t>Hybride / AWS lab</t>
  </si>
  <si>
    <t>S3 + stockage export</t>
  </si>
  <si>
    <t>Introduire le stockage d’exports/audits sans serveur de fichiers.</t>
  </si>
  <si>
    <r>
      <rPr>
        <sz val="10"/>
        <color rgb="FF111827"/>
        <rFont val="Calibri"/>
      </rPr>
      <t xml:space="preserve">• Créer fonctionnalité export CSV des membres ou audits.
• Créer interface ObjectStorage + implémentation S3/local.
</t>
    </r>
    <r>
      <rPr>
        <sz val="10"/>
        <color rgb="FFC2410C"/>
        <rFont val="Calibri"/>
      </rPr>
      <t xml:space="preserve">
🔎 Détail technique
Export CSV via S3 (presigned URL) :
  AWS SDK v2 : S3Client (endpoint override pour LocalStack)
  POST /api/teams/{id}/pulse/export?from=&amp;to=
    → génère CSV (OpenCSV ou manuel), upload S3,
      retourne presigned GET URL (expire 15 min)
  Audit : log AuditEvent ExportRequested (org_id, actor, période)
  Stream le CSV (pas tout en mémoire) pour gros volumes</t>
    </r>
  </si>
  <si>
    <r>
      <rPr>
        <sz val="10"/>
        <color rgb="FF111827"/>
        <rFont val="Calibri"/>
      </rPr>
      <t xml:space="preserve">• Créer bucket S3 : versioning, encryption, lifecycle et policy minimale.
• Configurer accès application par rôle, pas par clé codée.
</t>
    </r>
    <r>
      <rPr>
        <sz val="10"/>
        <color rgb="FFC2410C"/>
        <rFont val="Calibri"/>
      </rPr>
      <t xml:space="preserve">
🔎 Détail technique
S3 + stockage export (Terraform) :
  aws_s3_bucket teampulse-exports-${env}
  block public access ALL true
  aws_s3_bucket_server_side_encryption_configuration (KMS)
  aws_s3_bucket_lifecycle_configuration :
    expiration des exports après 7 jours (rule status Enabled)
  IAM policy app : PutObject + GetObject sur ce bucket SEULEMENT
    (least privilege, pas de s3:* )
LocalStack :
  awslocal s3 mb s3://teampulse-exports-local
  awslocal s3 ls  (vérifier l'upload)
Test : presigned URL téléchargeable, expire bien après 15 min</t>
    </r>
  </si>
  <si>
    <t>• Export produit fichier téléchargeable ou présigné.
• Accès non autorisé échoue.
• Lifecycle/encryption vérifiés.</t>
  </si>
  <si>
    <t>Checklist data durability + API export</t>
  </si>
  <si>
    <t>Exports stockés durablement, chiffrés et sécurisés.</t>
  </si>
  <si>
    <t>LocalStack + AWS court</t>
  </si>
  <si>
    <t>Security design + privacy</t>
  </si>
  <si>
    <t>Protéger les données humaines sensibles avant le dashboard pulse.</t>
  </si>
  <si>
    <r>
      <rPr>
        <sz val="409.55"/>
        <color rgb="FF111827"/>
        <rFont val="Calibri"/>
      </rPr>
      <t xml:space="preserve">• Configurer KMS/chiffrement services de stockage ; CloudTrail de lab.
• Créer secret policy et journaliser export/role change.
</t>
    </r>
    <r>
      <rPr>
        <sz val="409.55"/>
        <color rgb="FFC2410C"/>
        <rFont val="Calibri"/>
      </rPr>
      <t xml:space="preserve">
🔎 Détail technique
Security design + privacy (peu d'infra) :
  Métriques : insights_k_anonymity_masked_total{org_id, endpoint}
  Dashboard Grafana : top équipes masquées (signal de calibrage)
Threat model documenté (STRIDE light) :
  scénario re-identification (équipe de 3 → moyenne révèle l'auteur)
  mitigation = k-anonymity + audit des accès agrégats
PII : email + prénom uniquement ; blockers jamais logués en clair
Conformité : aligne sur Art. 5 RGPD (minimisation) — argument CNIL</t>
    </r>
  </si>
  <si>
    <t>Networking approfondi / SSM</t>
  </si>
  <si>
    <t>Supprimer l’administration SSH publique et limiter les flux.</t>
  </si>
  <si>
    <t>• Rendre opérations admin possibles via logs/endpoints internes protégés.
• Ajouter audit de consultation/export sensibles.</t>
  </si>
  <si>
    <t>• Configurer SSM Session Manager au lieu de SSH/bastion.
• Ajouter VPC endpoints pertinents (S3/SSM) ; réduire egress.
• Revoir SG/NACL.</t>
  </si>
  <si>
    <t>• Instance sans port 22 administrable via SSM.
• App accède à S3 via endpoint.
• Diagramme flux actualisé.</t>
  </si>
  <si>
    <t>Diagramme réseau v3 + runbook accès instance</t>
  </si>
  <si>
    <t>Administration privée et flux cloud explicités.</t>
  </si>
  <si>
    <t>AWS lab</t>
  </si>
  <si>
    <t>Monitoring reliability</t>
  </si>
  <si>
    <t>Voir une dégradation du service et réagir.</t>
  </si>
  <si>
    <t>• Ajouter métriques métier : pulse_submitted_total, export_total, denied_tenant_total.
• Normaliser codes erreurs et correlation-id.</t>
  </si>
  <si>
    <t>• Créer dashboard CloudWatch : latence, 5xx, CPU, DB connexions.
• Créer alarmes actionnables et journal de réaction.</t>
  </si>
  <si>
    <t>• Simuler arrêt instance ou erreur DB.
• Observer alarme et diagnostiquer avec logs.
• Restaurer service et chronométrer.</t>
  </si>
  <si>
    <t>Dashboard + postmortem simulé #1</t>
  </si>
  <si>
    <t>Incident visible, expliqué et corrigé via runbook.</t>
  </si>
  <si>
    <t>AWS lab / Local possible</t>
  </si>
  <si>
    <t>Cost awareness</t>
  </si>
  <si>
    <t>Ne pas apprendre AWS en générant une facture inutile.</t>
  </si>
  <si>
    <t>• Ajouter tag organisation/env/service dans métadonnées deployment.
• Vérifier que feature export ne garde pas fichiers inutilement.</t>
  </si>
  <si>
    <t>• Créer budgets/alerts, tagging obligatoire et script teardown lab.
• Comparer coûts ALB/NAT/RDS de lab à alternative locale.</t>
  </si>
  <si>
    <t>• Toutes ressources lab taggées.
• Script/listing confirme teardown.
• Budget alerts actives.</t>
  </si>
  <si>
    <t>ADR-006 cost guardrails</t>
  </si>
  <si>
    <t>Tu peux expliquer et limiter le coût du projet.</t>
  </si>
  <si>
    <t>AWS + discipline teardown</t>
  </si>
  <si>
    <t>Serverless culture</t>
  </si>
  <si>
    <t>Comparer une petite fonction asynchrone à l’API hébergée.</t>
  </si>
  <si>
    <t>• Créer use case : génération d’un résumé export ou rappel pulse via Lambda.
• Définir contrat d’entrée/sortie et idempotence simple.</t>
  </si>
  <si>
    <t>• Provisionner Lambda + S3/SQS ou API Gateway en IaC de lab.
• Configurer logs et rôle minimal.</t>
  </si>
  <si>
    <t>• Invocation produit le résultat attendu.
• Double invocation n’endommage pas les données.
• Comparer coût/complexité avec service Spring.</t>
  </si>
  <si>
    <t>Comparatif EC2/EKS/serverless</t>
  </si>
  <si>
    <t>POC serverless isolé et décision argumentée.</t>
  </si>
  <si>
    <t>SAA scenario / remediation</t>
  </si>
  <si>
    <t>Consolider les faiblesses identifiées par l’examen blanc.</t>
  </si>
  <si>
    <t>• Corriger les 2 dettes applicatives les plus gênantes : sécurité, logs ou tests.
• Mettre à jour README architecture.</t>
  </si>
  <si>
    <t>• Rejouer un lab faible : réseau, storage ou HA via Terraform.
• Vérifier teardown et budget.</t>
  </si>
  <si>
    <t>• Mock exam analysé en erreurs par domaine.
• Lab faible fonctionne à nouveau sans tutoriel.
• Backlog priorisé.</t>
  </si>
  <si>
    <t>Backlog gaps SAA + corrections commit</t>
  </si>
  <si>
    <t>Connaissance faible transformée en preuve pratique.</t>
  </si>
  <si>
    <t>Selon lab</t>
  </si>
  <si>
    <t>SAA design trade-offs</t>
  </si>
  <si>
    <t>Savoir justifier une architecture TeamPulse simple et fiable.</t>
  </si>
  <si>
    <t>• Geler MVP fonctionnel : organizations, teams, pulse, summary masqué, audit/export.
• Nettoyer API et tests critiques.</t>
  </si>
  <si>
    <t>• Dessiner deux architectures : EC2/RDS et serverless partiel.
• Comparer sécurité, coût, résilience, ops.</t>
  </si>
  <si>
    <t>• Présenter en 10 minutes le choix cible.
• Tests MVP et CI verts.
• Documentation cohérente.</t>
  </si>
  <si>
    <t>Cheat sheet SAA + ADR architecture cible P1</t>
  </si>
  <si>
    <t>MVP P1 stable et architecture défendable.</t>
  </si>
  <si>
    <t>Design + local</t>
  </si>
  <si>
    <t>Clôture SAA / portfolio</t>
  </si>
  <si>
    <t>• Rejouer déploiement propre sur AWS ou environnement lab.
• Faire revue Well-Architected simplifiée et supprimer ressources.</t>
  </si>
  <si>
    <t>AWS lab final P1</t>
  </si>
  <si>
    <t>Kubernetes fondamentaux</t>
  </si>
  <si>
    <t>Porter le monolithe stable dans un cluster Kubernetes local.</t>
  </si>
  <si>
    <r>
      <rPr>
        <sz val="10"/>
        <color rgb="FF111827"/>
        <rFont val="Calibri"/>
      </rPr>
      <t xml:space="preserve">• Créer image release v0.1 utilisable par kind/minikube.
• Externaliser config en variables compatibles Kubernetes.
</t>
    </r>
    <r>
      <rPr>
        <sz val="10"/>
        <color rgb="FFC2410C"/>
        <rFont val="Calibri"/>
      </rPr>
      <t xml:space="preserve">
🔎 Détail technique
(App déjà conteneurisée — focus packaging K8s)
Vérifier 12-factor : config par env, logs sur stdout,
  graceful shutdown (server.shutdown=graceful,
  spring.lifecycle.timeout-per-shutdown-phase=30s)
Probes : /actuator/health/liveness + /readiness</t>
    </r>
  </si>
  <si>
    <r>
      <rPr>
        <sz val="10"/>
        <color rgb="FF111827"/>
        <rFont val="Calibri"/>
      </rPr>
      <t xml:space="preserve">• Créer manifests Namespace, Deployment, Service pour backend et frontend.
• Déployer PostgreSQL uniquement pour lab local ou pointer vers DB externe.
</t>
    </r>
    <r>
      <rPr>
        <sz val="10"/>
        <color rgb="FFC2410C"/>
        <rFont val="Calibri"/>
      </rPr>
      <t xml:space="preserve">
🔎 Détail technique
Kubernetes fondamentaux (kind/minikube local) :
  kind create cluster --name teampulse --config kind.yaml
    (1 control-plane + 2 workers, port mappings)
Manifests de base (k8s/base/) :
  deployment.yaml : replicas 2, image SHA, resources
    requests cpu 250m/mem 512Mi, limits cpu 1/mem 1Gi
    livenessProbe + readinessProbe httpGet actuator
  service.yaml : ClusterIP port 80 → 8080
  postgres : StatefulSet + PVC (dev only)
kubectl apply -f k8s/base/
kubectl get pods -w ; kubectl logs -f deploy/tp-api
kubectl port-forward svc/tp-api 8080:80 (test local)</t>
    </r>
  </si>
  <si>
    <t>• kubectl get pods/services montre composants Ready.
• App joignable localement.
• Supprimer/recréer cluster sans modifier le code.</t>
  </si>
  <si>
    <t>Diagramme runtime Kubernetes</t>
  </si>
  <si>
    <t>Monolithe TeamPulse tourne dans K8s local.</t>
  </si>
  <si>
    <t>Local kind/minikube</t>
  </si>
  <si>
    <t>Config / Secrets / probes</t>
  </si>
  <si>
    <t>Rendre les pods exploitables et configurables.</t>
  </si>
  <si>
    <r>
      <rPr>
        <sz val="10"/>
        <color rgb="FF111827"/>
        <rFont val="Calibri"/>
      </rPr>
      <t xml:space="preserve">• Séparer readiness/liveness ; app ne reçoit trafic que DB prête.
• Ajouter graceful shutdown et configuration secrets.
</t>
    </r>
    <r>
      <rPr>
        <sz val="10"/>
        <color rgb="FFC2410C"/>
        <rFont val="Calibri"/>
      </rPr>
      <t xml:space="preserve">
🔎 Détail technique
Externaliser TOUTE config hors de l'image :
  @ConfigurationProperties(prefix="teampulse")
  Lecture depuis env vars (injectées par ConfigMap/Secret)
  Aucun secret dans application.yml committé</t>
    </r>
  </si>
  <si>
    <r>
      <rPr>
        <sz val="10"/>
        <color rgb="FF111827"/>
        <rFont val="Calibri"/>
      </rPr>
      <t xml:space="preserve">• Créer ConfigMap/Secret, probes, resource requests/limits.
• Préparer secret DB avec valeur de lab non versionnée.
</t>
    </r>
    <r>
      <rPr>
        <sz val="10"/>
        <color rgb="FFC2410C"/>
        <rFont val="Calibri"/>
      </rPr>
      <t xml:space="preserve">
🔎 Détail technique
Config / Secrets / probes (K8s) :
  ConfigMap : application.yml non-sensible (feature flags, seuils)
    kubectl create configmap tp-config --from-file=application.yml
  Secret : DB password, JWT key
    kubectl create secret generic tp-secrets
      --from-literal=db-password=... (ou External Secrets Operator)
  Deployment : envFrom configMapRef + secretRef
    OU volumeMounts pour monter application.yml
Probes affinées :
  readiness : initialDelay 10s, period 5s, failureThreshold 3
  liveness  : initialDelay 30s, period 10s
  startupProbe pour démarrage JVM lent (failureThreshold 30)
Vérif : kubectl describe pod (events probes)</t>
    </r>
  </si>
  <si>
    <t>• Pod incorrectement configuré échoue clairement.
• Readiness passe false si dépendance indisponible.
• Secrets absents du dépôt.</t>
  </si>
  <si>
    <t>DoD application K8s</t>
  </si>
  <si>
    <t>Workload possède config, limites et probes utiles.</t>
  </si>
  <si>
    <t>Local K8s</t>
  </si>
  <si>
    <t>Ingress / TLS</t>
  </si>
  <si>
    <t>Exposer l’application par une route stable.</t>
  </si>
  <si>
    <r>
      <rPr>
        <sz val="10"/>
        <color rgb="FF111827"/>
        <rFont val="Calibri"/>
      </rPr>
      <t xml:space="preserve">• Configurer base URL frontend et gestion headers proxy/TLS.
• Tester endpoints auth/pulse derrière host ingress.
</t>
    </r>
    <r>
      <rPr>
        <sz val="10"/>
        <color rgb="FFC2410C"/>
        <rFont val="Calibri"/>
      </rPr>
      <t xml:space="preserve">
🔎 Détail technique
(Infra TLS — app inchangée)
S'assurer que l'app respecte X-Forwarded-* (derrière proxy)
  server.forward-headers-strategy: framework</t>
    </r>
  </si>
  <si>
    <r>
      <rPr>
        <sz val="10"/>
        <color rgb="FF111827"/>
        <rFont val="Calibri"/>
      </rPr>
      <t xml:space="preserve">• Installer ingress controller ; créer Ingress API/UI.
• Ajouter TLS local et redirection HTTP→HTTPS.
</t>
    </r>
    <r>
      <rPr>
        <sz val="10"/>
        <color rgb="FFC2410C"/>
        <rFont val="Calibri"/>
      </rPr>
      <t xml:space="preserve">
🔎 Détail technique
Ingress / TLS (K8s) :
  ingress-nginx : helm install ingress-nginx
    ingress-nginx/ingress-nginx -n ingress-nginx
  cert-manager pour TLS auto :
    helm install cert-manager jetstack/cert-manager --set crds.enabled=true
    ClusterIssuer (self-signed en local, Let's Encrypt en réel)
ingress.yaml :
  annotations cert-manager.io/cluster-issuer
  rules host teampulse.local → service tp-api:80
  tls : secretName tp-tls
/etc/hosts : 127.0.0.1 teampulse.local (local)
Test : curl -k https://teampulse.local/actuator/health</t>
    </r>
  </si>
  <si>
    <t>• Navigation UI→API via nom local fonctionne en HTTPS.
• Healthcheck non public ou protégé si décidé.
• Erreur 502 diagnostiquée via logs.</t>
  </si>
  <si>
    <t>Runbook ingress down</t>
  </si>
  <si>
    <t>Accès applicatif via Ingress sécurisé et documenté.</t>
  </si>
  <si>
    <t>Helm packaging</t>
  </si>
  <si>
    <t>Transformer les manifests en package configurable.</t>
  </si>
  <si>
    <r>
      <rPr>
        <sz val="10"/>
        <color rgb="FF111827"/>
        <rFont val="Calibri"/>
      </rPr>
      <t xml:space="preserve">• Définir paramètres image/tag, URLs, tenancy et feature flags.
• Ajouter seed data optionnelle pour démo.
</t>
    </r>
    <r>
      <rPr>
        <sz val="10"/>
        <color rgb="FFC2410C"/>
        <rFont val="Calibri"/>
      </rPr>
      <t xml:space="preserve">
🔎 Détail technique
(Packaging — pas de code applicatif)
Valeurs paramétrables identifiées : image.tag, replicas,
  resources, env, ingress.host → exposées dans values.yaml</t>
    </r>
  </si>
  <si>
    <r>
      <rPr>
        <sz val="10"/>
        <color rgb="FF111827"/>
        <rFont val="Calibri"/>
      </rPr>
      <t xml:space="preserve">• Créer chart Helm TeamPulse avec values local/dev.
• Ajouter template helpers et NOTES.txt.
</t>
    </r>
    <r>
      <rPr>
        <sz val="10"/>
        <color rgb="FFC2410C"/>
        <rFont val="Calibri"/>
      </rPr>
      <t xml:space="preserve">
🔎 Détail technique
Helm packaging :
  helm create tp-api → nettoyer le scaffold
  Chart structure :
    Chart.yaml, values.yaml
    templates/ : deployment, service, ingress, configmap,
      secret, hpa, _helpers.tpl
  values.yaml :
    image: {repository, tag, pullPolicy}
    replicaCount, resources, ingress.enabled/host
    env: [...], probes: {...}
helm lint tp-api
helm template tp-api -f values-dev.yaml (vérifier le rendu)
helm upgrade --install tp-api ./tp-api -f values-dev.yaml -n dev
helm history / helm rollback (démo)
1 chart par service (prép découpage W047)</t>
    </r>
  </si>
  <si>
    <t>• helm lint passe.
• Install/upgrade/rollback testés.
• Déploiement sans édition manuelle YAML.</t>
  </si>
  <si>
    <t>ADR-007 packaging Kubernetes + chart Helm</t>
  </si>
  <si>
    <t>Une release s’installe ou se rollbacke via Helm.</t>
  </si>
  <si>
    <t>Logs K8s</t>
  </si>
  <si>
    <t>Conserver et interroger les logs de pods.</t>
  </si>
  <si>
    <t>• Standardiser correlation-id dans UI→API→DB.
• Ajouter fields orgId hashé, endpoint, status sans PII.</t>
  </si>
  <si>
    <t>• Installer stack logs légère ou collecteur local.
• Configurer collecte namespace TeamPulse.</t>
  </si>
  <si>
    <t>• Rechercher une requête via correlation-id.
• Restart pod ne supprime pas capacité de diagnostic.
• Aucun blocker texte sensible dans logs.</t>
  </si>
  <si>
    <t>Standard logging + requêtes diagnostics</t>
  </si>
  <si>
    <t>Logs utiles, corrélés et respectueux des données.</t>
  </si>
  <si>
    <t>Déployer pour la première fois le chart sur EKS.</t>
  </si>
  <si>
    <r>
      <rPr>
        <sz val="10"/>
        <color rgb="FF111827"/>
        <rFont val="Calibri"/>
      </rPr>
      <t xml:space="preserve">• Valider compatibilité image/config avec environnement cloud.
• Ajouter endpoint démo d’état deployment/version.
</t>
    </r>
    <r>
      <rPr>
        <sz val="10"/>
        <color rgb="FFC2410C"/>
        <rFont val="Calibri"/>
      </rPr>
      <t xml:space="preserve">
🔎 Détail technique
(EKS — pas de code applicatif)
Préparer IRSA : l'app lira ses credentials AWS via le
  service account annoté (pas de clés en dur)</t>
    </r>
  </si>
  <si>
    <r>
      <rPr>
        <sz val="10"/>
        <color rgb="FF111827"/>
        <rFont val="Calibri"/>
      </rPr>
      <t xml:space="preserve">• Créer EKS temporaire en IaC ; configurer kubectl et déployer Helm.
• Configurer accès image/IRSA ou secret minimal.
• Détruire cluster en fin de session.
</t>
    </r>
    <r>
      <rPr>
        <sz val="10"/>
        <color rgb="FFC2410C"/>
        <rFont val="Calibri"/>
      </rPr>
      <t xml:space="preserve">
🔎 Détail technique
EKS bootstrap (vrai AWS — 1 journée, teardown le soir) :
  Terraform module eks/ (terraform-aws-modules/eks/aws) :
    cluster_version 1.30, managed node group (2× t3.medium spot)
    enable_irsa = true
  aws eks update-kubeconfig --name teampulse-eks
Add-ons essentiels :
  AWS Load Balancer Controller (helm) + IRSA role
  EBS CSI driver (storage)
  metrics-server (pour HPA)
IRSA : ServiceAccount + IAM role (eks.amazonaws.com/role-arn)
  → l'app accède S3/Secrets sans clés
Déployer le chart Helm sur EKS, valider ALB ingress réel
⚠️ terraform destroy en fin de journée (control plane = $/h)</t>
    </r>
  </si>
  <si>
    <t>• Pods Ready et ingress accessible.
• Accès cloud journalisé.
• Teardown confirmé pour maîtriser coût.</t>
  </si>
  <si>
    <t>Diagramme EKS v1 + journal lab</t>
  </si>
  <si>
    <t>Même chart fonctionne localement et sur EKS.</t>
  </si>
  <si>
    <t>Vrai AWS 1 journée</t>
  </si>
  <si>
    <t>HPA / charge</t>
  </si>
  <si>
    <t>Adapter automatiquement la capacité à la charge.</t>
  </si>
  <si>
    <t>• Créer script ou endpoint de génération de pulses de test.
• S’assurer que traitement reste stateless.</t>
  </si>
  <si>
    <t>• Configurer metrics-server/HPA et requests cohérentes.
• Lancer test charge simple.</t>
  </si>
  <si>
    <t>• HPA scale up/down observé.
• Latence/erreurs mesurées.
• Limiter pods max pour protéger coûts.</t>
  </si>
  <si>
    <t>SLO simple + rapport de charge</t>
  </si>
  <si>
    <t>Scaling démontré avec limites raisonnables.</t>
  </si>
  <si>
    <t>Storage / migrations</t>
  </si>
  <si>
    <t>Clarifier ce qui reste hors cluster et comment migrer.</t>
  </si>
  <si>
    <t>• Versionner migrations Flyway Pulse/Audit ; valider rollback logique.
• Ajouter script seed/test isolé.</t>
  </si>
  <si>
    <t>• Tester PVC uniquement pour besoins locaux ; recommander RDS en cloud.
• Documenter stratégie migrations au déploiement.</t>
  </si>
  <si>
    <t>• Recréation pod n’endommage pas données.
• Migration s’exécute une fois et audit reste lisible.</t>
  </si>
  <si>
    <t>Runbook data on Kubernetes / RDS decision</t>
  </si>
  <si>
    <t>Stratégie data explicite et migrations contrôlées.</t>
  </si>
  <si>
    <t>Local; AWS design</t>
  </si>
  <si>
    <t>RBAC / NetworkPolicy</t>
  </si>
  <si>
    <t>Réduire le blast radius du namespace.</t>
  </si>
  <si>
    <t>• Créer service account applicatif et documenter droits nécessaires.
• Vérifier auth applicative inchangée.</t>
  </si>
  <si>
    <t>• Configurer RBAC minimal, NetworkPolicies API↔DB/ingress.
• Supprimer privilèges inutiles pod.</t>
  </si>
  <si>
    <t>• Pod non autorisé ne joint pas DB.
• Ingress autorisé atteint API.
• Déploiement fonctionne sous SA limité.</t>
  </si>
  <si>
    <t>Threat model v2 / baseline K8s</t>
  </si>
  <si>
    <t>Isolation réseau et droits cluster testés.</t>
  </si>
  <si>
    <t>Rollout / rollback</t>
  </si>
  <si>
    <t>Déployer une version sans interrompre les utilisateurs.</t>
  </si>
  <si>
    <t>• Créer changement v0.2 contrôlé (ex : écran dashboard skeleton).
• Ajouter migration backward-compatible si nécessaire.</t>
  </si>
  <si>
    <t>• Configurer rolling update, maxUnavailable/maxSurge, Helm rollback.
• Versionner image v0.1/v0.2.</t>
  </si>
  <si>
    <t>• Upgrade conserve accès API.
• Rollback remet version v0.1.
• Les migrations restent compatibles.</t>
  </si>
  <si>
    <t>Runbook release Kubernetes</t>
  </si>
  <si>
    <t>Déploiement et retour arrière reproduits.</t>
  </si>
  <si>
    <t>Troubleshooting K8s</t>
  </si>
  <si>
    <t>Apprendre à diagnostiquer cinq pannes réelles.</t>
  </si>
  <si>
    <t>• Créer feature flags pour désactiver dashboard/export en incident.
• Ajouter messages d’erreur exploitables.</t>
  </si>
  <si>
    <t>• Simuler ImagePullBackOff, CrashLoop, probe KO, DNS KO, ConfigMap manquante.
• Documenter commandes kubectl de triage.</t>
  </si>
  <si>
    <t>• Diagnostiquer chaque panne sans modifier aveuglément.
• Corriger et restaurer service.
• Temps de résolution noté.</t>
  </si>
  <si>
    <t>Checklist debug K8s + postmortem #2</t>
  </si>
  <si>
    <t>Tu sais isoler cause et corriger pannes fréquentes.</t>
  </si>
  <si>
    <t>Rejouer l’exploitation réelle sur cluster AWS temporaire.</t>
  </si>
  <si>
    <t>• Stabiliser chart Helm et documentation déploiement.
• Valider features Phase 1 en environnement EKS.</t>
  </si>
  <si>
    <t>• Redéployer EKS, ingress, secrets/config et logs minimum.
• Tester update/rollback ; destroy complet.</t>
  </si>
  <si>
    <t>• Démo MVP sur EKS.
• Captures/délais/coût de session conservés.
• Liste améliorations ops priorisée.</t>
  </si>
  <si>
    <t>Déploiement AWS Kubernetes répétable et supprimable.</t>
  </si>
  <si>
    <t>Structured logging</t>
  </si>
  <si>
    <t>Uniformiser diagnostic avant le split microservices.</t>
  </si>
  <si>
    <r>
      <rPr>
        <sz val="10"/>
        <color rgb="FF111827"/>
        <rFont val="Calibri"/>
      </rPr>
      <t xml:space="preserve">• Ajouter MDC/correlation-id partout ; propager depuis frontend.
• Créer audit format standard pour actions sensibles.
</t>
    </r>
    <r>
      <rPr>
        <sz val="10"/>
        <color rgb="FFC2410C"/>
        <rFont val="Calibri"/>
      </rPr>
      <t xml:space="preserve">
🔎 Détail technique
Logs structurés + correlation :
  logback + net.logstash.logback.encoder
  MDC filter : génère/propage X-Correlation-Id,
    injecte orgId, userId, requestId dans le MDC
  1 ligne = 1 JSON : {ts, level, logger, msg, correlationId,
    orgId, traceId, spanId}
  JAMAIS de PII (email/blockers) dans les logs</t>
    </r>
  </si>
  <si>
    <r>
      <rPr>
        <sz val="10"/>
        <color rgb="FF111827"/>
        <rFont val="Calibri"/>
      </rPr>
      <t xml:space="preserve">• Configurer collector/log dashboard local ; parser JSON.
• Définir rétention et redaction PII.
</t>
    </r>
    <r>
      <rPr>
        <sz val="10"/>
        <color rgb="FFC2410C"/>
        <rFont val="Calibri"/>
      </rPr>
      <t xml:space="preserve">
🔎 Détail technique
Structured logging (stack locale) :
  Loki + Promtail (ou Elastic) en docker-compose/K8s
  Promtail scrape les logs des pods (label app, namespace)
  Grafana : datasource Loki, requêtes LogQL
    {app="tp-api"} | json | orgId="42"
Corrélation logs↔traces : traceId présent dans les 2
Rétention Loki : 7 jours en local
Dashboard : taux d'erreur par service depuis les logs JSON</t>
    </r>
  </si>
  <si>
    <t>• Une transaction pulse est retrouvable de l’UI à l’audit.
• Aucune valeur libre sensible loggée.
• Requêtes opérationnelles documentées.</t>
  </si>
  <si>
    <t>Standard logging v2</t>
  </si>
  <si>
    <t>Logs prêts pour architecture distribuée.</t>
  </si>
  <si>
    <t>Local observabilité</t>
  </si>
  <si>
    <t>Metrics produit/technique</t>
  </si>
  <si>
    <t>Mesurer ce qui compte pour l’utilisateur et l’exploitation.</t>
  </si>
  <si>
    <t>• Configurer Prometheus scrape + Grafana dashboard local.
• Créer labels sans cardinalité dangereuse.</t>
  </si>
  <si>
    <t>Dashboard v1 Prometheus/Grafana</t>
  </si>
  <si>
    <t>Métriques actionnables et stables.</t>
  </si>
  <si>
    <t>Alerter uniquement sur des symptômes utiles.</t>
  </si>
  <si>
    <t>• Ajouter health indicators externes : DB, object storage/event broker si actif.
• Documenter conséquences d’une alerte.</t>
  </si>
  <si>
    <t>• Configurer alertes : 5xx, P95, unavailable, DB saturation, auth failures anormales.
• Ajouter canaux de notification de lab.</t>
  </si>
  <si>
    <t>• Forcer erreur et recevoir alerte.
• Chaque alerte pointe vers runbook.
• Supprimer une alerte bruyante ou régler seuil.</t>
  </si>
  <si>
    <t>Matrice alertes + runbooks liés</t>
  </si>
  <si>
    <t>Alerting testé et non purement décoratif.</t>
  </si>
  <si>
    <t>Tracing OpenTelemetry</t>
  </si>
  <si>
    <t>Voir une requête traverser plusieurs composants.</t>
  </si>
  <si>
    <r>
      <rPr>
        <sz val="10"/>
        <color rgb="FF111827"/>
        <rFont val="Calibri"/>
      </rPr>
      <t xml:space="preserve">• Instrumenter backend et frontend/API boundary ; ajouter spans DB et export.
• Préparer propagation trace pour futurs events.
</t>
    </r>
    <r>
      <rPr>
        <sz val="10"/>
        <color rgb="FFC2410C"/>
        <rFont val="Calibri"/>
      </rPr>
      <t xml:space="preserve">
🔎 Détail technique
Tracing distribué OpenTelemetry :
  Micrometer Tracing + OTel bridge (Spring Boot 3.x natif)
    io.micrometer:micrometer-tracing-bridge-otel
    io.opentelemetry:opentelemetry-exporter-otlp
  management.tracing.sampling.probability: 1.0 (dev) / 0.1 (prod)
  Auto-instrumentation : HTTP entrant/sortant, JDBC, Kafka
  @Observed sur méthodes métier clés
  Propagation W3C traceparent entre services</t>
    </r>
  </si>
  <si>
    <r>
      <rPr>
        <sz val="10"/>
        <color rgb="FF111827"/>
        <rFont val="Calibri"/>
      </rPr>
      <t xml:space="preserve">• Déployer collector + backend trace local.
• Relier traces à logs par traceId.
</t>
    </r>
    <r>
      <rPr>
        <sz val="10"/>
        <color rgb="FFC2410C"/>
        <rFont val="Calibri"/>
      </rPr>
      <t xml:space="preserve">
🔎 Détail technique
Tracing OpenTelemetry (infra) :
  OpenTelemetry Collector (déploiement) :
    receivers OTLP (4317 gRPC / 4318 HTTP)
    exporters → Tempo (ou Jaeger)
  Tempo (Grafana) pour le stockage des traces
  Grafana : datasource Tempo, vue waterfall des spans
  Exemplars : lien métrique → trace (latence P99 → trace lente)
OTEL_EXPORTER_OTLP_ENDPOINT=http://otel-collector:4318
docker-compose ajoute : otel-collector + tempo
Vérif : 1 requête POST /pulse → trace complète multi-span</t>
    </r>
  </si>
  <si>
    <t>• Retrouver trace lente dashboard/export.
• Identifier span dominant.
• Documenter méthode investigation.</t>
  </si>
  <si>
    <t>Runbook latency investigation</t>
  </si>
  <si>
    <t>Trace corrélée aux logs et metrics.</t>
  </si>
  <si>
    <t>SLI/SLO</t>
  </si>
  <si>
    <t>Formaliser un niveau de service réaliste.</t>
  </si>
  <si>
    <r>
      <rPr>
        <sz val="10"/>
        <color rgb="FF111827"/>
        <rFont val="Calibri"/>
      </rPr>
      <t xml:space="preserve">• Définir parcours critique : login, submit pulse, read summary.
• Ajouter instrumentation nécessaire SLI.
</t>
    </r>
    <r>
      <rPr>
        <sz val="10"/>
        <color rgb="FFC2410C"/>
        <rFont val="Calibri"/>
      </rPr>
      <t xml:space="preserve">
🔎 Détail technique
SLI/SLO instrumentés :
  Définir SLI : latence (P95/P99 par endpoint), taux d'erreur,
    disponibilité (succès/total)
  Histogrammes Micrometer :
    management.metrics.distribution.percentiles-histogram.http.server.requests: true
    SLO buckets : 100ms, 200ms, 500ms
  Endpoint critique = POST /pulse &lt; 200ms P95</t>
    </r>
  </si>
  <si>
    <r>
      <rPr>
        <sz val="10"/>
        <color rgb="FF111827"/>
        <rFont val="Calibri"/>
      </rPr>
      <t xml:space="preserve">• Créer dashboard SLO et règles simple d’error budget.
• Documenter limites du lab.
</t>
    </r>
    <r>
      <rPr>
        <sz val="10"/>
        <color rgb="FFC2410C"/>
        <rFont val="Calibri"/>
      </rPr>
      <t xml:space="preserve">
🔎 Détail technique
SLI/SLO (infra observabilité) :
  Prometheus recording rules : sli:latency:p95, sli:error_rate
  SLO docs/slo/teampulse-slo.md :
    Availability 99.5%, Latency P95 &lt; 200ms, Error rate &lt; 1%
  Error budget = (1 - 99.5%) sur 30j ; burn rate alerts
    multi-window (fast burn 1h + slow burn 6h)
Grafana SLO dashboard : SLI actuel vs objectif + budget restant
Alerte : burn rate &gt; 14.4 (épuise budget en 2j) → PAGE
Base des game days (W044) et postmortems</t>
    </r>
  </si>
  <si>
    <t>• Calculer disponibilité/latence sur test charge.
• Simuler violation SLO.
• Décider action prioritaire.</t>
  </si>
  <si>
    <t>Document SLO TeamPulse v1</t>
  </si>
  <si>
    <t>Trois parcours possèdent indicateurs et objectifs.</t>
  </si>
  <si>
    <t>Traiter une panne comme une équipe pro.</t>
  </si>
  <si>
    <t>• Ajouter feature flag de désactivation export/insights si saturation.
• Corriger un point identifié pendant incident.</t>
  </si>
  <si>
    <t>• Simuler DB indisponible ou latence excessive.
• Suivre alerte→triage→mitigation→restauration.</t>
  </si>
  <si>
    <t>• Mesurer MTTA/MTTR.
• Écrire timeline, cause et actions.
• Ajouter action préventive vérifiable.</t>
  </si>
  <si>
    <t>Postmortem incident #3</t>
  </si>
  <si>
    <t>Incident documenté avec amélioration implémentée.</t>
  </si>
  <si>
    <t>Capacity / load</t>
  </si>
  <si>
    <t>Trouver la limite actuelle de l’application.</t>
  </si>
  <si>
    <t>• Créer jeu de données multi-organisations et scénario k6/JMeter.
• Optimiser endpoint dashboard le plus lent.</t>
  </si>
  <si>
    <t>• Configurer tests charge et visualiser CPU/mémoire/DB pool/HPA.
• Ajuster requests/limits.</t>
  </si>
  <si>
    <t>• Comparer baseline/après optimisation.
• Documenter saturation dominante.
• SLO respecté à charge cible.</t>
  </si>
  <si>
    <t>ADR-008 capacity approach + rapport charge</t>
  </si>
  <si>
    <t>Capacité chiffrée et tuning justifié.</t>
  </si>
  <si>
    <t>Local K8s/observabilité</t>
  </si>
  <si>
    <t>Pack ops avant split</t>
  </si>
  <si>
    <t>Stabiliser exploitation avant complexité microservices.</t>
  </si>
  <si>
    <t>• Geler monolithe v0.2 ; régler bugs pulse/privacy/audit.
• Préparer boundaries de modules futurs.</t>
  </si>
  <si>
    <t>• Assembler dashboard, alertes, traces, charts Helm, runbooks.
• Créer procédure bootstrap local complète.</t>
  </si>
  <si>
    <t>• Repartir de zéro et démarrer plateforme en suivant README.
• Démo + incident court réussis.
• Backlog du split validé.</t>
  </si>
  <si>
    <t>Portfolio Phase 2a / Ops Pack</t>
  </si>
  <si>
    <t>Monolithe observable sert de baseline au split.</t>
  </si>
  <si>
    <t>Local</t>
  </si>
  <si>
    <t>Découpage services</t>
  </si>
  <si>
    <t>Commencer le passage vers services indépendants sans casser le produit.</t>
  </si>
  <si>
    <r>
      <rPr>
        <sz val="409.55"/>
        <color rgb="FF111827"/>
        <rFont val="Calibri"/>
      </rPr>
      <t xml:space="preserve">• Créer docker-compose multi-services + DB séparée au minimum par service logique.
• Mettre à jour Helm avec services distincts.
</t>
    </r>
    <r>
      <rPr>
        <sz val="409.55"/>
        <color rgb="FFC2410C"/>
        <rFont val="Calibri"/>
      </rPr>
      <t xml:space="preserve">
🔎 Détail technique
Découpage services (infra locale) :
  docker-compose passe à ~12 services (6 Spring + kafka +
    kafka-ui + redis + postgres + localstack + ui)
  PostgreSQL : 1 instance, 5 schémas (identity_db, team_db, ...)
    init SQL crée les schémas + users par service
  1 Dockerfile multi-stage par service (réutilise le pattern W001)
  Makefile : rebuild SERVICE=pulse-service (rebuild ciblé)
  Helm : deploy/helm/{service}/ (1 chart par service, values communs
    via library chart _helpers)
  Réseau : services se résolvent par nom (DNS compose / K8s svc)</t>
    </r>
  </si>
  <si>
    <t>Un premier service extrait fonctionne sans régression.</t>
  </si>
  <si>
    <t>Local microservices</t>
  </si>
  <si>
    <t>API Gateway / auth edge</t>
  </si>
  <si>
    <t>Centraliser authentification et routage.</t>
  </si>
  <si>
    <r>
      <rPr>
        <sz val="10"/>
        <color rgb="FF111827"/>
        <rFont val="Calibri"/>
      </rPr>
      <t xml:space="preserve">• Introduire gateway ; valider JWT et propager org_id/roles/correlation-id.
• Définir routes team/pulse/identity.
</t>
    </r>
    <r>
      <rPr>
        <sz val="10"/>
        <color rgb="FFC2410C"/>
        <rFont val="Calibri"/>
      </rPr>
      <t xml:space="preserve">
🔎 Détail technique
API Gateway + auth edge :
  Spring Cloud Gateway (réactif) :
    routes : /api/v1/auth|users → identity, /teams → team,
      /pulse → pulse, /dashboard → insights, /admin/webhooks → webhook
    GlobalFilter JwtValidationFilter :
      valide signature (clé publique de identity via JWKS)
      injecte X-Org-Id, X-User-Id, X-Roles, X-Correlation-Id downstream
    Les services downstream FONT CONFIANCE aux headers du gateway
      (ne re-valident pas le JWT) + vérifient présence X-Org-Id
  Rate limiting edge : RequestRateLimiter + Redis (par org/IP)</t>
    </r>
  </si>
  <si>
    <r>
      <rPr>
        <sz val="10"/>
        <color rgb="FF111827"/>
        <rFont val="Calibri"/>
      </rPr>
      <t xml:space="preserve">• Containeriser gateway ; router ingress vers gateway.
• Limiter exposition directe services internes.
</t>
    </r>
    <r>
      <rPr>
        <sz val="10"/>
        <color rgb="FFC2410C"/>
        <rFont val="Calibri"/>
      </rPr>
      <t xml:space="preserve">
🔎 Détail technique
API Gateway (infra) :
  gateway exposé en Ingress (seul point d'entrée public)
  services métier en ClusterIP (non exposés directement)
  Redis pour rate limiting (RedisRateLimiter)
  Helm : chart gateway avec ingress.enabled=true
  NetworkPolicy (W035 appliqué) : seul le gateway peut
    appeler les services métier sur leurs ports
  Timeouts gateway : connect 2s, response 10s par route
  Métriques : spring_cloud_gateway_requests par route + status</t>
    </r>
  </si>
  <si>
    <t>• Requête non authentifiée bloquée à l’edge.
• Service interne inaccessible publiquement.
• Audit auth et trace disponibles.</t>
  </si>
  <si>
    <t>ADR-009 edge strategy</t>
  </si>
  <si>
    <t>Un point d’entrée sécurisé gouverne les services.</t>
  </si>
  <si>
    <t>Kafka/SQS events</t>
  </si>
  <si>
    <t>Publier les premiers événements métier.</t>
  </si>
  <si>
    <r>
      <rPr>
        <sz val="409.55"/>
        <color rgb="FF111827"/>
        <rFont val="Calibri"/>
      </rPr>
      <t xml:space="preserve">• Lancer Kafka local (ou service compatible) avec compose.
• Configurer topics, DLQ initiale et métriques consumer.
</t>
    </r>
    <r>
      <rPr>
        <sz val="409.55"/>
        <color rgb="FFC2410C"/>
        <rFont val="Calibri"/>
      </rPr>
      <t xml:space="preserve">
🔎 Détail technique
Kafka local (KRaft, sans Zookeeper) :
  docker-compose :
    kafka: bitnami/kafka:3.7 (PROCESS_ROLES controller,broker)
    kafka-ui: provectuslabs/kafka-ui (debug visuel, :8090)
  Topics créés au boot (script init) :
    pulse.events.v1 (3 partitions, retention 7j, cleanup delete)
    pulse.events.dlq (3 partitions, retention 30j)
  Spring Kafka : spring.kafka.bootstrap-servers, producer
    acks=all, enable.idempotence=true, retries=3
    consumer : isolation.level read_committed, auto-offset earliest
  Métrique : kafka_consumer_lag_max (alerte &gt; 1000)</t>
    </r>
  </si>
  <si>
    <t>Catalogue events v1 + ADR event bus</t>
  </si>
  <si>
    <t>Premier flux async traçable et tenant-aware.</t>
  </si>
  <si>
    <t>Kafka local</t>
  </si>
  <si>
    <t>Idempotence / retry</t>
  </si>
  <si>
    <t>Rendre les consumers sûrs en cas de redelivery.</t>
  </si>
  <si>
    <r>
      <rPr>
        <sz val="10"/>
        <color rgb="FF111827"/>
        <rFont val="Calibri"/>
      </rPr>
      <t xml:space="preserve">• Créer table processed_event ou clé idempotence.
• Implémenter retry contrôlé et DLQ pour consumer analytics/webhook futur.
</t>
    </r>
    <r>
      <rPr>
        <sz val="10"/>
        <color rgb="FFC2410C"/>
        <rFont val="Calibri"/>
      </rPr>
      <t xml:space="preserve">
🔎 Détail technique
Idempotence + retry :
  webhook-service consumer idempotent :
    WebhookDelivery(eventId, webhookConfigId, status, attempts,
      lastError, nextRetryAt) ; unique (event_id, webhook_config_id)
    1) check Redis (event_id vu &lt; 24h ?)
    2) INSERT delivery (catch DataIntegrityViolation = idempotence)
    3) call HTTP avec retry
  insights-service : table inbox (event_id, consumer_group) unique
  Retry (Spring Retry) : 5 tentatives, backoff expo + jitter
    (1,2,4,8,16s) → sinon DLQ. Replay DLQ via admin endpoint.</t>
    </r>
  </si>
  <si>
    <r>
      <rPr>
        <sz val="10"/>
        <color rgb="FF111827"/>
        <rFont val="Calibri"/>
      </rPr>
      <t xml:space="preserve">• Configurer retry topic/DLQ et dashboard lag/error.
• Ajouter scénario arrêt/redémarrage consumer.
</t>
    </r>
    <r>
      <rPr>
        <sz val="10"/>
        <color rgb="FFC2410C"/>
        <rFont val="Calibri"/>
      </rPr>
      <t xml:space="preserve">
🔎 Détail technique
Idempotence/retry (infra) :
  Redis : dedup store, maxmemory 256mb, policy allkeys-lru, TTL 24h
  Kafka : DefaultErrorHandler + DeadLetterPublishingRecoverer
    → route auto vers pulse.events.dlq après N échecs
  Consumer concurrency tuné (= nb partitions)
  Métriques :
    webhook_delivery_total{status, org_id}
    webhook_delivery_duration_seconds (histogramme)
    dlq_messages_total (ALERTE &gt; 0)
  Test chaos : kill consumer + restart → 0 perte, 0 doublon</t>
    </r>
  </si>
  <si>
    <t>• Rejouer même event : aucun double agrégat.
• Message invalide part en DLQ.
• Runbook lag/DLQ fonctionne.</t>
  </si>
  <si>
    <t>Checklist idempotence + runbook consumer lag</t>
  </si>
  <si>
    <t>At-least-once maîtrisé sans duplication métier.</t>
  </si>
  <si>
    <t>Garantir publication après transaction métier.</t>
  </si>
  <si>
    <r>
      <rPr>
        <sz val="409.55"/>
        <color rgb="FF111827"/>
        <rFont val="Calibri"/>
      </rPr>
      <t xml:space="preserve">• Ajouter job/CDC pragmatique de publication et métriques outbox backlog.
• Tester panne broker puis reprise.
</t>
    </r>
    <r>
      <rPr>
        <sz val="409.55"/>
        <color rgb="FFC2410C"/>
        <rFont val="Calibri"/>
      </rPr>
      <t xml:space="preserve">
🔎 Détail technique
Outbox (infra/observabilité) :
  Métriques critiques :
    outbox_unpublished_count (gauge)
    outbox_age_seconds_max (âge du + vieux non publié)
  Alertes :
    age &gt; 60s → WARNING ; age &gt; 300s → PAGE
    unpublished &gt; 1000 pendant 5 min → PAGE
  Pas d'infra lourde (pattern applicatif), juste métriques + alertes
  Test chaos : kill pulse-service APRÈS commit DB, AVANT publish
    → event publié au restart (garantie at-least-once)
  Postmortem simulé : coupure Kafka 30s, outbox rattrape 47 events</t>
    </r>
  </si>
  <si>
    <t>ADR-010 / ADR-T07 outbox guarantees</t>
  </si>
  <si>
    <t>Aucun événement métier perdu lors d’une panne broker.</t>
  </si>
  <si>
    <t>Saga</t>
  </si>
  <si>
    <t>Orchestrer un workflow multi-services compensable.</t>
  </si>
  <si>
    <r>
      <rPr>
        <sz val="10"/>
        <color rgb="FF111827"/>
        <rFont val="Calibri"/>
      </rPr>
      <t xml:space="preserve">• Choisir workflow : création d’organisation + team initiale + invitation manager.
• Implémenter saga simple et action compensation.
</t>
    </r>
    <r>
      <rPr>
        <sz val="10"/>
        <color rgb="FFC2410C"/>
        <rFont val="Calibri"/>
      </rPr>
      <t xml:space="preserve">
🔎 Détail technique
Saga (transaction distribuée) :
  Cas : création équipe + invitation membres
    team-service crée Team → publie TeamCreated
    identity-service crée users pending → MembersInvited
    team-service met à jour state → TeamReady
  Compensation si échec (email invalide) :
    publie InvitationFailed → team-service rollback (TeamCancelled)
  Choré (events) plutôt qu'orchestrateur pour démarrer ;
    machine à états explicite (enum TeamProvisioningState)
  Idempotence + corrélation (sagaId) sur chaque étape</t>
    </r>
  </si>
  <si>
    <r>
      <rPr>
        <sz val="10"/>
        <color rgb="FF111827"/>
        <rFont val="Calibri"/>
      </rPr>
      <t xml:space="preserve">• Créer topics/queues commande/événement et logs saga.
• Ajouter dashboard état saga.
</t>
    </r>
    <r>
      <rPr>
        <sz val="10"/>
        <color rgb="FFC2410C"/>
        <rFont val="Calibri"/>
      </rPr>
      <t xml:space="preserve">
🔎 Détail technique
Saga (infra) :
  Topics : team.events.v1, identity.events.v1
  Observabilité saga : tracer la corrélation sagaId à travers
    les services (trace distribuée OTel W042)
  Dashboard : sagas en cours / complétées / compensées
  Timeout saga : si pas TeamReady &lt; 30s → alerte + compensation
  Test : injecter un échec à l'étape 2 → vérifier compensation
    complète (aucun état partiel persistant)
  Doc : diagramme de séquence + états dans docs/architecture/</t>
    </r>
  </si>
  <si>
    <t>• Happy path complet.
• Échec à l’étape invitation déclenche compensation.
• État final cohérent et audit visible.</t>
  </si>
  <si>
    <t>Diagramme séquence Saga + ADR orchestration/choreography</t>
  </si>
  <si>
    <t>Workflow distribué récupère proprement d’un échec.</t>
  </si>
  <si>
    <t>Consistency / poison messages</t>
  </si>
  <si>
    <t>Traiter les données incohérentes sans bloquer toute la chaîne.</t>
  </si>
  <si>
    <t>• Valider schéma events ; gérer events invalides/version inconnue.
• Créer endpoint admin sécurisé de reprocess DLQ.</t>
  </si>
  <si>
    <t>• Ajouter DLQ observabilité et permissions admin.
• Limiter reprocessing en environnement contrôlé.</t>
  </si>
  <si>
    <t>• Event corrompu isolé en DLQ.
• Reprocess après correction fonctionne.
• Action est auditée.</t>
  </si>
  <si>
    <t>Runbook poison message</t>
  </si>
  <si>
    <t>Une erreur de message n’interrompt pas le flux normal.</t>
  </si>
  <si>
    <t>Faire évoluer les événements sans casser les consommateurs.</t>
  </si>
  <si>
    <t>• Créer EventEnvelope v2 compatible (champ optionnel).
• Maintenir consumer compatible v1/v2 ; tests contractuels.</t>
  </si>
  <si>
    <t>• Documenter topic naming, compatibility rules et dépréciation.
• Ajouter contract tests en CI.</t>
  </si>
  <si>
    <t>• Consumer traite événements v1 et v2.
• Breaking change provoque échec CI.
• Catalogue events actualisé.</t>
  </si>
  <si>
    <t>Standard event schema v1</t>
  </si>
  <si>
    <t>Evolution contrôlée et vérifiée automatiquement.</t>
  </si>
  <si>
    <t>Kafka local/CI</t>
  </si>
  <si>
    <t>Encadrer retries/timeouts/circuit breakers.</t>
  </si>
  <si>
    <r>
      <rPr>
        <sz val="10"/>
        <color rgb="FF111827"/>
        <rFont val="Calibri"/>
      </rPr>
      <t xml:space="preserve">• Créer webhook-service ou appel externe simulé.
• Ajouter Resilience4j : timeout, retry borné, circuit breaker, bulkhead.
</t>
    </r>
    <r>
      <rPr>
        <sz val="10"/>
        <color rgb="FFC2410C"/>
        <rFont val="Calibri"/>
      </rPr>
      <t xml:space="preserve">
🔎 Détail technique
Resilience4j (webhooks) :
  @CircuitBreaker(name="webhook-{id}", fallbackMethod="scheduleRetry")
  @Bulkhead(name="webhook-per-tenant", type=SEMAPHORE)  // max 10/tenant
  @RateLimiter(name="webhook-per-destination")          // 50/min
  @TimeLimiter(name="webhook-http")                     // 10s
  CompletableFuture&lt;DeliveryResult&gt; deliver(WebhookConfig c, DomainEvent e)
  CB par destination (registry.circuitBreaker("webhook-"+id))
    → un webhook cassé n'impacte pas les autres tenants
  Admin : GET /admin/webhooks/{id}/state, POST .../reset</t>
    </r>
  </si>
  <si>
    <r>
      <rPr>
        <sz val="10"/>
        <color rgb="FF111827"/>
        <rFont val="Calibri"/>
      </rPr>
      <t xml:space="preserve">• Déployer mock webhook lent/cassé dans compose.
• Exposer métriques de résilience.
</t>
    </r>
    <r>
      <rPr>
        <sz val="10"/>
        <color rgb="FFC2410C"/>
        <rFont val="Calibri"/>
      </rPr>
      <t xml:space="preserve">
🔎 Détail technique
Resilience patterns (config + obs) :
  application.yml resilience4j :
    circuitbreaker : slidingWindow 50, failureRate 50%,
      slowCallDuration 5s, waitInOpenState 30s, halfOpen 5 calls
    bulkhead.maxConcurrentCalls 10 ; ratelimiter 50/60s
    timelimiter 10s cancelRunningFuture true
  Métriques auto (Micrometer) :
    resilience4j_circuitbreaker_state{name, state}
    resilience4j_bulkhead_available_concurrent_calls
  Dashboard 'Webhook Resilience' + alerte CB open &gt; 5 min
  Test WireMock : URL lente 10s → CB ouvre ; autres tenants OK</t>
    </r>
  </si>
  <si>
    <t>• Webhook lent n’épuise pas service principal.
• Circuit s’ouvre et événements sont retry/DLQ.
• Latence API reste acceptable.</t>
  </si>
  <si>
    <t>ADR-011 / ADR-T08 resilience defaults</t>
  </si>
  <si>
    <t>Dépendance externe défaillante isolée.</t>
  </si>
  <si>
    <t>Security service-to-service / HMAC</t>
  </si>
  <si>
    <t>Signer les webhooks et sécuriser les appels internes.</t>
  </si>
  <si>
    <r>
      <rPr>
        <sz val="10"/>
        <color rgb="FF111827"/>
        <rFont val="Calibri"/>
      </rPr>
      <t xml:space="preserve">• Signer payload webhook HMAC-SHA256 avec timestamp.
• Valider signature + anti-replay côté receiver de test.
• Évaluer token/mTLS pour services internes.
</t>
    </r>
    <r>
      <rPr>
        <sz val="10"/>
        <color rgb="FFC2410C"/>
        <rFont val="Calibri"/>
      </rPr>
      <t xml:space="preserve">
🔎 Détail technique
Sécurité service-to-service + HMAC webhooks :
  Webhooks sortants signés (style Stripe) :
    WebhookSigner : HmacSHA256 sur (timestamp + "." + payload)
    header X-TeamPulse-Signature: t=&lt;epoch&gt;,v1=&lt;hex&gt;
    + X-TeamPulse-Event-Id/Type/Delivery-Id
  Anti-replay : timestamp, rejet si drift &gt; 5 min (côté consumer)
  Rotation rolling : secret_v1 + secret_v2, double signature
    pendant transition, promote-secret pour finaliser
  Service-to-service interne : mTLS (mesh) OU JWT court signé
    par le gateway, vérifié par chaque service</t>
    </r>
  </si>
  <si>
    <r>
      <rPr>
        <sz val="10"/>
        <color rgb="FF111827"/>
        <rFont val="Calibri"/>
      </rPr>
      <t xml:space="preserve">• Stocker secret webhook hors code ; rotation lab.
• Configurer réseau pour exposition uniquement nécessaire.
</t>
    </r>
    <r>
      <rPr>
        <sz val="10"/>
        <color rgb="FFC2410C"/>
        <rFont val="Calibri"/>
      </rPr>
      <t xml:space="preserve">
🔎 Détail technique
Sécurité S2S + secrets (infra) :
  Secrets webhooks : pgcrypto (column encryption) en P2,
    AWS Secrets Manager + rotation Lambda en P3
  Le secret en clair ne quitte JAMAIS webhook-service
    (jamais dans logs, jamais dans events)
  mTLS interne (option mesh Linkerd/Istio) OU
    NetworkPolicy stricte + JWT interne
  Sample consumer Node.js dans examples/ (valide la signature)
  Métrique : webhook_signature_validation_failures_total
    (feedback consumer → alerte config tenant)
  Doc publique : docs/api/webhooks-receiver-guide.md</t>
    </r>
  </si>
  <si>
    <t>• Signature valide acceptée ; signature fausse ou ancienne rejetée.
• Rotation sans downtime documentée.
• Audit enregistre livraison/échec.</t>
  </si>
  <si>
    <t>ADR-T09 webhook security + threat model v3</t>
  </si>
  <si>
    <t>Webhooks authentifiés et protection replay testée.</t>
  </si>
  <si>
    <t>Local + secrets</t>
  </si>
  <si>
    <t>DDD / insights privacy</t>
  </si>
  <si>
    <t>Définir ownership données et introduire l’analyse de blockers sans risque.</t>
  </si>
  <si>
    <r>
      <rPr>
        <sz val="409.55"/>
        <color rgb="FF111827"/>
        <rFont val="Calibri"/>
      </rPr>
      <t xml:space="preserve">• Séparer DB ownership ou schémas ; configurer events comme contrat.
• Ajouter metrics insights masked/alert.
</t>
    </r>
    <r>
      <rPr>
        <sz val="409.55"/>
        <color rgb="FFC2410C"/>
        <rFont val="Calibri"/>
      </rPr>
      <t xml:space="preserve">
🔎 Détail technique
DDD / insights privacy (infra) :
  Métriques : sentiment_flags_total{org_id, language, severity}
    sentiment_latency_seconds (P95 &lt; 50ms en v0)
  Logs sentiment : {org_id, team_id, severity, matched_count}
    SANS le texte original
  Préparation v1 (Année 3 Axe D) :
    ml-inference-service (Python isolé), REST ou Kafka selon latence
    modèles : DistilBERT (fr/en) ou FastText
  Context Map + ubiquitous-language.md dans docs/architecture/</t>
    </r>
  </si>
  <si>
    <t>Bounded contexts map + ADR-T04/T10</t>
  </si>
  <si>
    <t>Insights privacy-by-design et ownership explicite.</t>
  </si>
  <si>
    <t>Performance microservices</t>
  </si>
  <si>
    <t>Identifier coût du découpage distribué.</t>
  </si>
  <si>
    <t>• Profiler parcours dashboard : gateway→pulse/insights.
• Optimiser endpoint ou projection analytics.</t>
  </si>
  <si>
    <t>• Lancer charge avec traces/metrics consumer.
• Ajuster pools, batch consumer ou cache si justifié.</t>
  </si>
  <si>
    <t>• Rapport avant/après latence.
• Pas de régression privacy/tenant.
• Goulot documenté.</t>
  </si>
  <si>
    <t>Rapport performance v1</t>
  </si>
  <si>
    <t>Une optimisation prouvée par mesure.</t>
  </si>
  <si>
    <t>Testing distribué</t>
  </si>
  <si>
    <t>Sécuriser contrats et intégration entre services.</t>
  </si>
  <si>
    <t>• Ajouter contract tests APIs/events, intégration Kafka/Testcontainers.
• Ajouter tests E2E : login→pulse→insight masqué/visible.</t>
  </si>
  <si>
    <t>• Intégrer tests contract/E2E au pipeline avec environnements temporaires.
• Publier rapports.</t>
  </si>
  <si>
    <t>• Breaking API/event fait échouer CI.
• Parcours multi-tenant E2E vert.
• Test webhook signé vert.</t>
  </si>
  <si>
    <t>Stratégie tests microservices v1</t>
  </si>
  <si>
    <t>Contrats et parcours critiques automatisés.</t>
  </si>
  <si>
    <t>CI/local</t>
  </si>
  <si>
    <t>Progressive delivery</t>
  </si>
  <si>
    <t>Déployer microservices sans bascule risquée.</t>
  </si>
  <si>
    <t>• Créer version v0.3 d’un service avec changement visible contrôlé.
• Conserver compatibilité events.</t>
  </si>
  <si>
    <t>• Configurer canary ou blue/green pour service ciblé.
• Définir métriques rollback : 5xx/P95/SLO.</t>
  </si>
  <si>
    <t>• Envoyer trafic partiel, observer metrics.
• Déclencher rollback sur version volontairement défectueuse.
• Données restent cohérentes.</t>
  </si>
  <si>
    <t>Canary/rollback démontré sur un service.</t>
  </si>
  <si>
    <t>Local K8s; EKS optionnel</t>
  </si>
  <si>
    <t>Cost/scaling services</t>
  </si>
  <si>
    <t>Dimensionner sans multiplier les ressources inutilement.</t>
  </si>
  <si>
    <t>• Réduire services inutiles ou mutualiser composants de lab.
• Ajouter quotas/limites par service.</t>
  </si>
  <si>
    <t>• Mesurer CPU/RAM/stockage Kafka/DB ; établir sizing local/cloud.
• Ajuster autoscaling et retention events.</t>
  </si>
  <si>
    <t>• Coûts estimés avant/après.
• Charge cible supportée.
• Aucune DLQ inattendue.</t>
  </si>
  <si>
    <t>ADR-012 cost/perf microservices</t>
  </si>
  <si>
    <t>Architecture distribuée garde un coût maîtrisé.</t>
  </si>
  <si>
    <t>Local + estimation AWS</t>
  </si>
  <si>
    <t>Architecture pack</t>
  </si>
  <si>
    <t>Assembler la documentation de l’architecture event-driven.</t>
  </si>
  <si>
    <t>• Stabiliser release v0.3 : services, events, privacy, webhook.
• Nettoyer API/specs et seed de démo.</t>
  </si>
  <si>
    <t>• Compiler diagrams deployment, topics, dashboards, pipelines.
• Créer script bootstrap complet local.</t>
  </si>
  <si>
    <t>• Nouvel environnement démarre depuis README.
• Démo complète réussie.
• Runbooks essentiels testés.</t>
  </si>
  <si>
    <t>Plateforme microservices démontrable de bout en bout.</t>
  </si>
  <si>
    <t>Audit dette technique</t>
  </si>
  <si>
    <t>Décider ce qui doit être durci avant industrialisation.</t>
  </si>
  <si>
    <t>• Faire analyse dette : couplage, tests manquants, privacy/security gaps.
• Créer issues priorisées avec critères d’acceptation.</t>
  </si>
  <si>
    <t>• Scanner images/IaC/config K8s et relever écarts.
• Qualifier coûts techniques/risques.</t>
  </si>
  <si>
    <t>• Top 10 dette classé impact/effort.
• Corriger au moins un quick win.
• Roadmap Phase 3 ajustée.</t>
  </si>
  <si>
    <t>Backlog dette tech priorisé</t>
  </si>
  <si>
    <t>Priorités techniques explicites et défendables.</t>
  </si>
  <si>
    <t>Local/audit</t>
  </si>
  <si>
    <t>Fermer les risques critiques avant plateforme enterprise.</t>
  </si>
  <si>
    <t>• Corriger authZ, PII logs, validation events, dépendances critiques.
• Vérifier règles k-anonymity et tenant sur tous services.</t>
  </si>
  <si>
    <t>• Revoir secrets, RBAC, NetworkPolicies, scans images et SBOM initial.
• Documenter exceptions temporaires.</t>
  </si>
  <si>
    <t>• Security tests passent.
• Scan ne contient pas vulnérabilité critique non acceptée.
• Threat model mis à jour.</t>
  </si>
  <si>
    <t>Checklist sécurité + threat model v4</t>
  </si>
  <si>
    <t>Risques critiques traités ou formellement acceptés.</t>
  </si>
  <si>
    <t>Terminer la version distribuée exploitable.</t>
  </si>
  <si>
    <t>• Tagger release v0.3 ; écrire script démo et données de test.
• Corriger toute régression détectée en répétition.</t>
  </si>
  <si>
    <t>• Rejouer pipeline, déploiement Helm, dashboards, incident et rollback.
• Option : courte démo EKS avec teardown.</t>
  </si>
  <si>
    <t>Local + AWS optionnel</t>
  </si>
  <si>
    <t>Modules IaC plateforme</t>
  </si>
  <si>
    <t>Transformer l’infra TeamPulse en modules réutilisables.</t>
  </si>
  <si>
    <t>• Vérifier que chaque service expose config/health/metrics standard.
• Définir variables nécessaires par service/env.</t>
  </si>
  <si>
    <t>• Modulariser Terraform : network, compute/eks, data, observability, messaging.
• Ajouter examples d’utilisation dev/stage.</t>
  </si>
  <si>
    <t>• terraform validate/plan sur chaque module.
• Déployer un env dev depuis zéro.
• Aucune ressource créée manuellement non documentée.</t>
  </si>
  <si>
    <t>Conventions modules IaC</t>
  </si>
  <si>
    <t>Un environnement TeamPulse est assemblé par modules.</t>
  </si>
  <si>
    <t>Remote state / locking</t>
  </si>
  <si>
    <t>Sécuriser la collaboration autour de l’infrastructure.</t>
  </si>
  <si>
    <t>• Ajouter version/build info aux déploiements pour audit infra→app.</t>
  </si>
  <si>
    <t>• Configurer remote state, locking et chiffrement.
• Séparer états par environnement et droits d’accès.</t>
  </si>
  <si>
    <t>• Deux plans concurrents : verrouillage observé.
• Recovery state documentée.
• Accès minimal testé.</t>
  </si>
  <si>
    <t>ADR-013 gestion state Terraform</t>
  </si>
  <si>
    <t>State protégé, isolé et récupérable.</t>
  </si>
  <si>
    <t>AWS ciblé</t>
  </si>
  <si>
    <t>Multi-env reproductible</t>
  </si>
  <si>
    <t>Déployer dev/stage/prod-like avec le même code.</t>
  </si>
  <si>
    <t>• Ajouter feature flags par env : sentiment, webhooks, anonymisation.
• Gérer migrations compatibles sur déploiements successifs.</t>
  </si>
  <si>
    <t>• Créer pipelines/variables/modules pour dev/stage/prod-like.
• Séparer secrets, buckets, DB, topics et DNS par env.</t>
  </si>
  <si>
    <t>• Déploiement dev puis stage fonctionne.
• Aucune donnée/secret partagé par accident.
• Matrice flags documentée.</t>
  </si>
  <si>
    <t>Diagramme environnements</t>
  </si>
  <si>
    <t>Trois environnements isolés et comparables.</t>
  </si>
  <si>
    <t>LocalStack/AWS lab</t>
  </si>
  <si>
    <t>Policy as code light</t>
  </si>
  <si>
    <t>Empêcher les configurations infra non conformes.</t>
  </si>
  <si>
    <t>• Documenter exigences applicatives : encryption, PII, tenant, audit.</t>
  </si>
  <si>
    <t>• Ajouter lint/policy checks Terraform/K8s : tags, encryption, pas de public DB, resources limits.
• Bloquer pipeline sur violation critique.</t>
  </si>
  <si>
    <t>• Introduire volontairement SG ouvert ou image latest : pipeline échoue.
• Exception documentée uniquement si justifiée.</t>
  </si>
  <si>
    <t>Checklist / policy compliance</t>
  </si>
  <si>
    <t>Guardrails automatisés avant apply/deploy.</t>
  </si>
  <si>
    <t>Secrets avancés</t>
  </si>
  <si>
    <t>Gérer rotation et fuite sans arrêter la plateforme.</t>
  </si>
  <si>
    <t>• Permettre rotation secret webhook/DB ; supporter deux clés pendant transition si nécessaire.
• Audit de lecture/utilisation secrets.</t>
  </si>
  <si>
    <t>• Configurer secret manager/Vault optionnel + injection K8s.
• Limiter rôles CI/runtime.</t>
  </si>
  <si>
    <t>• Rotation lab réussie.
• Ancien secret révoqué après fenêtre.
• Incident secret leak joué.</t>
  </si>
  <si>
    <t>Runbook credential leak</t>
  </si>
  <si>
    <t>Secrets renouvelables et procédure testée.</t>
  </si>
  <si>
    <t>Local/Vault ou AWS</t>
  </si>
  <si>
    <t>Pipeline multi-stages</t>
  </si>
  <si>
    <t>Industrialiser build, tests, sécurité et déploiement.</t>
  </si>
  <si>
    <t>• Compléter suites tests : unit, integration, contract, E2E smoke.
• Versionner specs OpenAPI/events.</t>
  </si>
  <si>
    <t>• Pipeline : lint→test→build→scan→SBOM→image→plan→deploy dev.
• Gérer artefacts signés/versionnés.</t>
  </si>
  <si>
    <t>• Commit produit image + SBOM + rapports.
• Une vulnérabilité critique bloque.
• Déploiement dev automatique sain.</t>
  </si>
  <si>
    <t>Schéma pipeline enterprise</t>
  </si>
  <si>
    <t>Chaîne de livraison traçable et contrôlée.</t>
  </si>
  <si>
    <t>CI</t>
  </si>
  <si>
    <t>GitOps Argo CD</t>
  </si>
  <si>
    <t>Faire de Git la source de vérité du runtime.</t>
  </si>
  <si>
    <r>
      <rPr>
        <sz val="10"/>
        <color rgb="FF111827"/>
        <rFont val="Calibri"/>
      </rPr>
      <t xml:space="preserve">• Séparer repo applicatif et repo déploiement ou structurer clairement dossiers.
• Versionner chart/values releases.
</t>
    </r>
    <r>
      <rPr>
        <sz val="10"/>
        <color rgb="FFC2410C"/>
        <rFont val="Calibri"/>
      </rPr>
      <t xml:space="preserve">
🔎 Détail technique
(GitOps — pas de code applicatif)
App packagée en Helm ; le tag d'image (SHA) est la seule
  chose que le pipeline met à jour dans le repo GitOps</t>
    </r>
  </si>
  <si>
    <r>
      <rPr>
        <sz val="10"/>
        <color rgb="FF111827"/>
        <rFont val="Calibri"/>
      </rPr>
      <t xml:space="preserve">• Installer Argo CD local/EKS ; créer applications dev/stage.
• Configurer sync policy et droits.
</t>
    </r>
    <r>
      <rPr>
        <sz val="10"/>
        <color rgb="FFC2410C"/>
        <rFont val="Calibri"/>
      </rPr>
      <t xml:space="preserve">
🔎 Détail technique
GitOps avec Argo CD :
  Repo séparé teampulse-gitops/ :
    apps/{service}/{dev,staging}/ → Helm values par env
    Structure App-of-Apps (1 Application racine)
  Argo CD installé sur le cluster (helm)
    Application CRD : source repo+path, destination namespace,
    syncPolicy automated (prune + selfHeal)
  Flux : CI build image → met à jour tag dans gitops repo (PR/commit)
    → Argo CD détecte le diff → sync → déploie
  Image Updater (option) pour bump auto du tag
  kubectl/argocd app sync, app diff, app history (rollback = git revert)</t>
    </r>
  </si>
  <si>
    <t>• Changer tag dans Git déploie nouvelle version.
• Drift manuel détecté/corrigé.
• Rollback Git démontré.</t>
  </si>
  <si>
    <t>ADR-014 GitOps</t>
  </si>
  <si>
    <t>État cluster dérivé de Git et auditable.</t>
  </si>
  <si>
    <t>Local K8s / EKS ponctuel</t>
  </si>
  <si>
    <t>Progressive delivery réel</t>
  </si>
  <si>
    <t>Réduire le risque d’une release en production-like.</t>
  </si>
  <si>
    <t>• Choisir un changement feature flag sur Insights ou webhook.
• Garantir compatibilité DB/event pendant rollout.</t>
  </si>
  <si>
    <t>• Configurer canary/blue-green via outil disponible.
• Relier métriques 5xx/P95/lag au déploiement.</t>
  </si>
  <si>
    <t>• Canary sain progresse.
• Canary défectueux rollback.
• Audit de release complet.</t>
  </si>
  <si>
    <t>Runbook release v3</t>
  </si>
  <si>
    <t>Livraison progressive pilotée par signaux.</t>
  </si>
  <si>
    <t>Local K8s; AWS option</t>
  </si>
  <si>
    <t>Rollback automatique</t>
  </si>
  <si>
    <t>Automatiser l’arrêt d’un mauvais déploiement.</t>
  </si>
  <si>
    <t>• Créer scénario régression contrôlée dans service Insights/webhook.
• Ajouter test de migration non destructive.</t>
  </si>
  <si>
    <t>• Configurer analyse métriques ou script gate post-deploy.
• Déclencher rollback automatique/semi-auto.</t>
  </si>
  <si>
    <t>• Version fautive détectée sous délai défini.
• Service restauré ; events non perdus.
• Postmortem créé.</t>
  </si>
  <si>
    <t>Runbook auto rollback + postmortem #4</t>
  </si>
  <si>
    <t>Release en échec revient sans corruption donnée.</t>
  </si>
  <si>
    <t>Local platform</t>
  </si>
  <si>
    <t>DR basics</t>
  </si>
  <si>
    <t>Prouver que données et plateforme peuvent être restaurées.</t>
  </si>
  <si>
    <t>• Définir données critiques : org/team/pulse/audit/events/outbox.
• Préparer vérifications fonctionnelles post-restore.</t>
  </si>
  <si>
    <t>• Automatiser backup/restore DB et réinstallation via IaC/GitOps.
• Définir RTO/RPO réalistes.</t>
  </si>
  <si>
    <t>• Restaurer environnement détruit ou DB de test.
• Exécuter smoke tests post-restore.
• Mesurer RTO/RPO.</t>
  </si>
  <si>
    <t>ADR-015 DR targets + runbook restauration</t>
  </si>
  <si>
    <t>Restore testé, pas simplement documenté.</t>
  </si>
  <si>
    <t>Local + AWS stockage optionnel</t>
  </si>
  <si>
    <t>Multi-account concept</t>
  </si>
  <si>
    <t>Préparer gouvernance cloud à l’échelle.</t>
  </si>
  <si>
    <t>• Rendre configuration services compatible comptes/environnements distincts.
• Éviter IDs/URLs codés en dur.</t>
  </si>
  <si>
    <t>• Dessiner organisation comptes : management/security/logging/dev/stage/prod.
• POC assumer rôle cross-account si possible ou documenter.</t>
  </si>
  <si>
    <t>• Diagramme flux CI/deploy/logging/identity.
• Rôles et boundaries expliqués.
• Décision coût/pragmatisme écrite.</t>
  </si>
  <si>
    <t>Diagramme organisation AWS</t>
  </si>
  <si>
    <t>Modèle multi-account défendable même sans tout provisionner.</t>
  </si>
  <si>
    <t>Design + AWS ciblé</t>
  </si>
  <si>
    <t>Central audit/logging</t>
  </si>
  <si>
    <t>Conserver les preuves d’exploitation et de sécurité.</t>
  </si>
  <si>
    <t>• Émettre AuditEvent normalisé pour opérations critiques de tous services.
• Ajouter retention/privacy sur payload audit.</t>
  </si>
  <si>
    <t>• Centraliser logs/audits app + cloud ; protéger bucket/index d’audit.
• Définir accès lecture auditor.</t>
  </si>
  <si>
    <t>• Rechercher changement rôle/export/webhook failed.
• Tentative modification journal audit interdite.
• Rétention documentée.</t>
  </si>
  <si>
    <t>Audit exploitable et immuable dans le périmètre choisi.</t>
  </si>
  <si>
    <t>LocalStack/AWS</t>
  </si>
  <si>
    <t>Networking avancé</t>
  </si>
  <si>
    <t>Évaluer les patterns réseau d’une plateforme multi-env.</t>
  </si>
  <si>
    <t>• Aucun changement métier ; tester configuration services via endpoints privés/DNS.</t>
  </si>
  <si>
    <t>• POC ou design peering/TGW, private endpoints, DNS privé.
• Comparer coûts/complexité avec isolement simple.</t>
  </si>
  <si>
    <t>• Flux nécessaires cartographiés.
• Aucun accès DB/event bus public.
• Choix réseau expliqué.</t>
  </si>
  <si>
    <t>ADR-016 network strategy</t>
  </si>
  <si>
    <t>Réseau cible justifié par le besoin TeamPulse.</t>
  </si>
  <si>
    <t>Design/AWS ciblé</t>
  </si>
  <si>
    <t>Performance infra</t>
  </si>
  <si>
    <t>Mesurer l’impact de la plateforme sur le parcours utilisateur.</t>
  </si>
  <si>
    <t>• Optimiser lecture dashboard/Insights ou webhook delivery sur trace réelle.
• Ajouter cache/projection uniquement si mesuré.</t>
  </si>
  <si>
    <t>• Tester charge en environnement Kubernetes/DB comparable.
• Ajuster limits, HPA, pool DB, Kafka consumer.</t>
  </si>
  <si>
    <t>• Rapport P50/P95/erreurs/ressources avant-après.
• SLO tenu sous cible.
• Pas de fuite tenant/privacy.</t>
  </si>
  <si>
    <t>Rapport performance v2</t>
  </si>
  <si>
    <t>Optimisation basée sur mesure et observabilité.</t>
  </si>
  <si>
    <t>FinOps avancé</t>
  </si>
  <si>
    <t>Relier coût cloud à l’architecture choisie.</t>
  </si>
  <si>
    <t>• Ajouter métriques usage : pulses/exports/webhooks pour raisonner coût/unité.
• Configurer retention utile des events/exports.</t>
  </si>
  <si>
    <t>• Créer tableau de coûts par env/service ; étudier NAT, EKS, RDS, logs.
• Tester teardown automatique des environnements éphémères.</t>
  </si>
  <si>
    <t>• Top 5 postes de coût identifiés.
• Trois actions d’économie documentées/testées.
• Budget guardrails actifs.</t>
  </si>
  <si>
    <t>ADR-017 cost strategy</t>
  </si>
  <si>
    <t>Tu sais défendre le coût d’exploitation TeamPulse.</t>
  </si>
  <si>
    <t>AWS estimation/labs</t>
  </si>
  <si>
    <t>EKS security hardening</t>
  </si>
  <si>
    <t>Renforcer le cluster et ses workloads.</t>
  </si>
  <si>
    <t>• Vérifier service accounts, JWT scopes, PII/logs et secrets côté services.
• Corriger image/runtime permissions.</t>
  </si>
  <si>
    <t>• Appliquer RBAC minimal, pod security, network policies, admission rules possibles.
• Scanner images et manifests.</t>
  </si>
  <si>
    <t>• Pod privilégié/non conforme refusé.
• App normale reste fonctionnelle.
• Security baseline versionnée.</t>
  </si>
  <si>
    <t>Security baseline EKS v1</t>
  </si>
  <si>
    <t>Cluster rejette des workloads risqués.</t>
  </si>
  <si>
    <t>Local K8s/EKS lab</t>
  </si>
  <si>
    <t>Supply chain security</t>
  </si>
  <si>
    <t>Savoir d’où vient chaque image déployée.</t>
  </si>
  <si>
    <r>
      <rPr>
        <sz val="10"/>
        <color rgb="FF111827"/>
        <rFont val="Calibri"/>
      </rPr>
      <t xml:space="preserve">• Versionner dépendances et documenter librairies sensibles HMAC/auth/privacy.
• Supprimer dépendances inutiles.
</t>
    </r>
    <r>
      <rPr>
        <sz val="10"/>
        <color rgb="FFC2410C"/>
        <rFont val="Calibri"/>
      </rPr>
      <t xml:space="preserve">
🔎 Détail technique
Supply chain (durcissement build) :
  Dockerfile : digest pinné, USER 1000, HEALTHCHECK,
    -XX:+ExitOnOutOfMemoryError, layered jar
  mvn dependency:analyze (fail si deps inutilisées)
  Renovate/Dependabot : PR de MAJ hebdo
  Allow-list licences : MIT, Apache-2.0, BSD, MPL-2.0, ISC</t>
    </r>
  </si>
  <si>
    <r>
      <rPr>
        <sz val="10"/>
        <color rgb="FF111827"/>
        <rFont val="Calibri"/>
      </rPr>
      <t xml:space="preserve">• Générer SBOM, scanner, signer image si possible et vérifier avant deploy.
• Archiver artefacts pipeline.
</t>
    </r>
    <r>
      <rPr>
        <sz val="10"/>
        <color rgb="FFC2410C"/>
        <rFont val="Calibri"/>
      </rPr>
      <t xml:space="preserve">
🔎 Détail technique
Supply chain security (CI/CD) :
  stages : build → test → sbom → scan-deps → scan-image → sign
  sbom : syft → cyclonedx-json + spdx-json (artifact 1 an)
  scan-deps : grype sbom:./sbom.json --fail-on high
  scan-image : trivy image --severity HIGH,CRITICAL --exit-code 1
  sign : cosign sign --key $KEY $IMAGE@$DIGEST
    cosign attest --predicate sbom.json --type cyclonedx
  Admission K8s : Kyverno/OPA verify-image-signature
    → refuse tout pod non signé par notre clé
  Test : pousser image avec CVE critique → pipeline bloque
  Runbook docs/runbooks/cve-response.md</t>
    </r>
  </si>
  <si>
    <t>• Image altérée/non approuvée bloquée ou détectée.
• SBOM associée à release v0.4.
• Politique exceptions écrite.</t>
  </si>
  <si>
    <t>DoD secure build / ADR supply chain</t>
  </si>
  <si>
    <t>Release traçable du code au cluster.</t>
  </si>
  <si>
    <t>Chaos light</t>
  </si>
  <si>
    <t>Tester résistance à des pannes contrôlées.</t>
  </si>
  <si>
    <t>• Garantir idempotence/outbox/webhook après restart.
• Ajouter compteur recovery/failures.</t>
  </si>
  <si>
    <t>• Simuler pod down, broker indisponible, DB latente, secret invalide.
• Observer alertes/rollback/recovery.</t>
  </si>
  <si>
    <t>• Aucun event perdu ou duplication métier non gérée.
• SLO impact mesuré.
• Actions préventives enregistrées.</t>
  </si>
  <si>
    <t>Postmortem chaos #5</t>
  </si>
  <si>
    <t>Pannes connues avec mécanismes de récupération prouvés.</t>
  </si>
  <si>
    <t>Platform handbook</t>
  </si>
  <si>
    <t>Rendre la plateforme exploitable par une autre personne.</t>
  </si>
  <si>
    <t>• Stabiliser release v0.4 ; harmoniser README/services/contrats.
• Créer fixtures/démo reproductibles.</t>
  </si>
  <si>
    <t>• Nettoyer IaC, GitOps, CI, dashboards, runbooks et scripts bootstrap.
• Écrire parcours onboarding.</t>
  </si>
  <si>
    <t>• Réinstaller en suivant uniquement handbook.
• Déployer/déboguer/rollback sans connaissance implicite.</t>
  </si>
  <si>
    <t>Platform Handbook v1</t>
  </si>
  <si>
    <t>Plateforme opérable avec documentation.</t>
  </si>
  <si>
    <t>Architecture review v1</t>
  </si>
  <si>
    <t>Faire une revue comme architecte responsable du système.</t>
  </si>
  <si>
    <t>• Évaluer modèle domaine, boundaries, privacy et APIs/events.
• Classer dettes applicatives.</t>
  </si>
  <si>
    <t>• Évaluer reliability/security/cost/operations via checklist Well-Architected.
• Créer backlog risques priorisé.</t>
  </si>
  <si>
    <t>• Présenter trade-offs et décisions.
• Top 5 actions possèdent owner/critère.
• Corriger quick win.</t>
  </si>
  <si>
    <t>Revue structurée et actions concrètes.</t>
  </si>
  <si>
    <t>Review</t>
  </si>
  <si>
    <t>HA patterns</t>
  </si>
  <si>
    <t>Renforcer disponibilité selon les parcours critiques.</t>
  </si>
  <si>
    <t>• Lister dépendances critiques de login, submit pulse, summary, webhook.
• Définir fallback ou dégradation acceptable.</t>
  </si>
  <si>
    <t>• Tester réplication/HA applicable DB, services et broker ; config multi-AZ en design/lab.
• Mettre à jour alarmes.</t>
  </si>
  <si>
    <t>• Simuler perte composant.
• Parcours dégradé documenté.
• RTO service mesuré.</t>
  </si>
  <si>
    <t>ADR-018 HA choices</t>
  </si>
  <si>
    <t>Résilience proportionnée au besoin métier.</t>
  </si>
  <si>
    <t>Local/AWS ciblé</t>
  </si>
  <si>
    <t>Data strategy</t>
  </si>
  <si>
    <t>Garantir intégrité, performance et rétention des données.</t>
  </si>
  <si>
    <t>• Revoir schémas Pulse/Audit/Outbox/Insights et indexes.
• Définir purge/anonymisation et archivage exports.</t>
  </si>
  <si>
    <t>• Tester backup policies et export archive.
• Documenter DB ownership par service.</t>
  </si>
  <si>
    <t>• Requête dashboard optimisée.
• Purge respecte audit/privacy.
• Restore reste valide.</t>
  </si>
  <si>
    <t>Données gérées sur cycle de vie complet.</t>
  </si>
  <si>
    <t>Local/data</t>
  </si>
  <si>
    <t>Security deep dive</t>
  </si>
  <si>
    <t>Réduire les pouvoirs et surfaces d’attaque.</t>
  </si>
  <si>
    <t>• Revoir authZ par endpoint et endpoint admin/reprocess/export.
• Ajouter tests abuse case.</t>
  </si>
  <si>
    <t>• Revoir IAM policies, boundaries concept, KMS keys, secrets accès.
• Produire threat model actualisé.</t>
  </si>
  <si>
    <t>• Tests d’accès interdits verts.
• Rôle runtime ne peut pas administrer infra.
• Findings critiques traités.</t>
  </si>
  <si>
    <t>Threat model v4 + IAM review</t>
  </si>
  <si>
    <t>Séparation de privilèges démontrée.</t>
  </si>
  <si>
    <t>Security/AWS ciblé</t>
  </si>
  <si>
    <t>Governance</t>
  </si>
  <si>
    <t>Standardiser règles de ressources et de delivery.</t>
  </si>
  <si>
    <t>• Ajouter metadata owner/feature/tenant sur services sans exposer PII.
• Définir flags autorisés par environnement.</t>
  </si>
  <si>
    <t>• Définir tagging, naming, policy checks, approval apply/deploy.
• Créer checklist nouvelle ressource.</t>
  </si>
  <si>
    <t>• Pipeline rejette ressource non conforme.
• Inventaire TeamPulse taggé.
• Exceptions documentées.</t>
  </si>
  <si>
    <t>Governance checklist</t>
  </si>
  <si>
    <t>Règles gouvernance automatisables et appliquées.</t>
  </si>
  <si>
    <t>CI/IaC</t>
  </si>
  <si>
    <t>Latence E2E</t>
  </si>
  <si>
    <t>Optimiser l’expérience manager sans casser la confidentialité.</t>
  </si>
  <si>
    <t>• Relier traces, DB metrics, broker lag et infra resource usage.
• Faire test charge ciblé.</t>
  </si>
  <si>
    <t>Performance report v3</t>
  </si>
  <si>
    <t>Amélioration mesurée sur parcours métier.</t>
  </si>
  <si>
    <t>Reliability / toil</t>
  </si>
  <si>
    <t>Automatiser les opérations répétitives.</t>
  </si>
  <si>
    <t>• Créer endpoints/admin tools strictement nécessaires avec audit.
• Ne pas automatiser action destructrice sans garde-fou.</t>
  </si>
  <si>
    <t>• Lister toil : deploy, restore, DLQ reprocess, rotate secret, seed demo.
• Automatiser top 2-3 via scripts/pipelines.</t>
  </si>
  <si>
    <t>• Scripts exécutés dans sandbox/dev.
• Rollback ou dry-run disponible.
• Temps gagné estimé.</t>
  </si>
  <si>
    <t>Toil log + scripts ops</t>
  </si>
  <si>
    <t>Opérations fréquentes répétables et auditées.</t>
  </si>
  <si>
    <t>Documentation excellence</t>
  </si>
  <si>
    <t>Permettre un onboarding technique rapide.</t>
  </si>
  <si>
    <t>• Créer exemples API/events et jeu de données anonymisé.
• Documenter boundaries et règles privacy/tenant.</t>
  </si>
  <si>
    <t>• Créer guide local, cloud lab, CI/CD, GitOps, observabilité, incidents.
• Vérifier liens/commandes.</t>
  </si>
  <si>
    <t>• Onboarding simulé depuis machine propre.
• API/UI/dashboards accessibles en moins d’une heure.</t>
  </si>
  <si>
    <t>Onboarding guide</t>
  </si>
  <si>
    <t>Documentation exécutable, pas théorique.</t>
  </si>
  <si>
    <t>Docs/local</t>
  </si>
  <si>
    <t>System design drill 1</t>
  </si>
  <si>
    <t>Utiliser TeamPulse pour résoudre des scénarios d’architecture.</t>
  </si>
  <si>
    <t>• Scénario : passer de 10 à 10 000 organisations ; adapter modèle/insights.
• Écrire impacts sur privacy/events/API.</t>
  </si>
  <si>
    <t>• Proposer options infra avec coût, HA, sécurité, observabilité.
• Construire diagramme cible.</t>
  </si>
  <si>
    <t>• Décisions et alternatives écrites.
• Risques listés avec mitigations.</t>
  </si>
  <si>
    <t>Design doc scalabilité TeamPulse</t>
  </si>
  <si>
    <t>Tu sais raisonner au-delà du code actuel.</t>
  </si>
  <si>
    <t>Design</t>
  </si>
  <si>
    <t>Incident drill</t>
  </si>
  <si>
    <t>Répéter une crise d’exploitation complète.</t>
  </si>
  <si>
    <t>• Introduire bug contrôlé : consumer lag ou summary failure.
• Corriger durablement après exercice.</t>
  </si>
  <si>
    <t>• Déclencher incident, alerte, mitigation, rollback/reprocess.
• Rassembler evidence logs/metrics/traces.</t>
  </si>
  <si>
    <t>• Timeline et MTTR.
• Actions postmortem transformées en tickets/commit.</t>
  </si>
  <si>
    <t>Postmortem #6</t>
  </si>
  <si>
    <t>Cycle incident→apprentissage complet.</t>
  </si>
  <si>
    <t>Security drill</t>
  </si>
  <si>
    <t>Réagir à une clé webhook ou DB compromise.</t>
  </si>
  <si>
    <t>• Supporter invalidation/rotation clés et contrôle audit.
• Ajouter règle anti-replay si lacune.</t>
  </si>
  <si>
    <t>• Simuler fuite secret ; révoquer, remplacer, rechercher usages.
• Vérifier pipeline/secrets store.</t>
  </si>
  <si>
    <t>• Service restauré avec nouvelle clé.
• Ancienne clé échoue.
• Preuves d’investigation disponibles.</t>
  </si>
  <si>
    <t>Runbook sécurité v2 + postmortem</t>
  </si>
  <si>
    <t>Réponse à fuite testée techniquement.</t>
  </si>
  <si>
    <t>Local/AWS secret lab</t>
  </si>
  <si>
    <t>Cost drill</t>
  </si>
  <si>
    <t>Identifier et arrêter une dérive de facture.</t>
  </si>
  <si>
    <t>• Repérer features génératrices de coût : exports, logs, sentiment, events.
• Ajouter limites/rétention si nécessaire.</t>
  </si>
  <si>
    <t>• Simuler dérive logs/ressources oubliées ; alerte budget/anomaly.
• Appliquer teardown/retention/rightsizing.</t>
  </si>
  <si>
    <t>• Cause identifiée.
• Coût projeté avant/après.
• Mesure préventive appliquée.</t>
  </si>
  <si>
    <t>Playbook coûts</t>
  </si>
  <si>
    <t>Une dérive cloud a une réaction documentée.</t>
  </si>
  <si>
    <t>AWS estimation/lab</t>
  </si>
  <si>
    <t>Resilience defaults</t>
  </si>
  <si>
    <t>Uniformiser comportement réseau entre services.</t>
  </si>
  <si>
    <t>• Créer librairie/config commune timeouts/retries/idempotence/correlation.
• Réduire retries en cascade.</t>
  </si>
  <si>
    <t>• Configurer default policies gateway/services/webhooks/broker.
• Mettre métriques retries/circuit.</t>
  </si>
  <si>
    <t>• Panne externe n’amplifie pas trafic.
• DLQ et SLO restent lisibles.
• Standards référencés par services.</t>
  </si>
  <si>
    <t>ADR-019 resilience defaults</t>
  </si>
  <si>
    <t>Résilience cohérente sur tout le système.</t>
  </si>
  <si>
    <t>Knowledge map SAP</t>
  </si>
  <si>
    <t>Relier TeamPulse aux grandes familles AWS d’architecture.</t>
  </si>
  <si>
    <t>• Cartographier besoins TeamPulse : auth, API, data, events, analytics, DR.
• Identifier variantes si charge/régulation change.</t>
  </si>
  <si>
    <t>• Créer mapping services AWS et alternatives managées.
• Associer chaque choix à coût/sécurité/ops.</t>
  </si>
  <si>
    <t>• Expliquer quand remplacer EKS/Kafka/RDS.
• Mettre à jour diagrammes cible.</t>
  </si>
  <si>
    <t>Cheat sheet services/choix</t>
  </si>
  <si>
    <t>Choix cloud argumentés par contexte.</t>
  </si>
  <si>
    <t>Design/SAP</t>
  </si>
  <si>
    <t>Portfolio polishing</t>
  </si>
  <si>
    <t>Rendre le travail présentable en entretien ou mission.</t>
  </si>
  <si>
    <t>• Nettoyer code, données démo et scénarios.
• Écrire README produit et architecture.</t>
  </si>
  <si>
    <t>• Nettoyer scripts setup/deploy/destroy, captures dashboards et diagrams.
• Créer procédure démo 15 min.</t>
  </si>
  <si>
    <t>• Clone/setup/démo fonctionne.
• Aucun secret/PII dans repo.
• Documentation cohérente.</t>
  </si>
  <si>
    <t>Dossier partageable et professionnel.</t>
  </si>
  <si>
    <t>Gap week</t>
  </si>
  <si>
    <t>Fermer les trois failles principales de la roadmap.</t>
  </si>
  <si>
    <t>• Choisir 1 gap code critique et le corriger avec tests.
• Choisir 1 gap architecture/documentation.</t>
  </si>
  <si>
    <t>• Choisir 1 gap infra/ops et l’automatiser ou le documenter.
• Refaire scan/review ciblée.</t>
  </si>
  <si>
    <t>• Trois gaps fermés avec preuve.
• Backlog réévalué.</t>
  </si>
  <si>
    <t>Plan remédiation finalisé</t>
  </si>
  <si>
    <t>Risques majeurs réduits avant SAP.</t>
  </si>
  <si>
    <t>Selon gaps</t>
  </si>
  <si>
    <t>Pré-SAP kickoff</t>
  </si>
  <si>
    <t>Établir la baseline d’architecte senior.</t>
  </si>
  <si>
    <t>• Geler release candidate TeamPulse v1.0.
• Lister décisions métier/techniques encore contestables.</t>
  </si>
  <si>
    <t>• Comparer plateforme actuelle aux domaines SAP : org, migration, continuous improvement.
• Lancer baseline mock/design review.</t>
  </si>
  <si>
    <t>• Score/gaps SAP archivés.
• Scope de travaux finaux W102-W122 validé.</t>
  </si>
  <si>
    <t>Backlog SAP / release candidate</t>
  </si>
  <si>
    <t>Une baseline mesurée guide les dernières semaines.</t>
  </si>
  <si>
    <t>SAP design solutions</t>
  </si>
  <si>
    <t>Présenter une architecture cible complète de TeamPulse.</t>
  </si>
  <si>
    <t>• Définir cible multi-tenant, privacy, events, notifications et analytics.
• Identifier data criticality et scaling.</t>
  </si>
  <si>
    <t>• Dessiner cloud target : comptes, réseau, compute, data, messaging, ops.
• Proposer variantes coût/HA.</t>
  </si>
  <si>
    <t>• Revue six piliers.
• Trade-offs écrits et décisions cohérentes.</t>
  </si>
  <si>
    <t>ADR-020 solution cible</t>
  </si>
  <si>
    <t>Architecture de bout en bout défendable.</t>
  </si>
  <si>
    <t>Migration strategy</t>
  </si>
  <si>
    <t>Planifier migration d’un monolithe on-prem vers TeamPulse cloud.</t>
  </si>
  <si>
    <t>• Définir découpage migration données/API/events et compatibilité clients.
• Préparer stratégie double-write/outbox seulement si justifiée.</t>
  </si>
  <si>
    <t>• Définir phases rehost/replatform/refactor, connectivité, cutover/rollback.
• Préparer checklist migration.</t>
  </si>
  <si>
    <t>• Plan inclut downtime/RPO/risques/tests.
• Retour arrière possible.</t>
  </si>
  <si>
    <t>Plan migration 1 page + diagramme</t>
  </si>
  <si>
    <t>Migration progressive argumentée.</t>
  </si>
  <si>
    <t>Networking &amp; connectivity SAP</t>
  </si>
  <si>
    <t>Proposer connectivité complexe sans surarchitecture.</t>
  </si>
  <si>
    <t>• Valider besoins flux services, CI, auditor, webhooks et data export.</t>
  </si>
  <si>
    <t>• Dessiner réseau multi-account/hybrid, DNS, endpoints, ingress/egress.
• Comparer TGW/peering/private link selon besoin.</t>
  </si>
  <si>
    <t>• Sécurité flux et coûts explicités.
• Aucun flux implicite.</t>
  </si>
  <si>
    <t>Connectivité cible lisible et justifiée.</t>
  </si>
  <si>
    <t>Design/AWS lecture</t>
  </si>
  <si>
    <t>Security at scale</t>
  </si>
  <si>
    <t>Concevoir une organisation sécurisée à grande échelle.</t>
  </si>
  <si>
    <t>• Définir modèle tenants/roles/auditor et privacy controls.
• Définir gestion webhook/ML data.</t>
  </si>
  <si>
    <t>• Concevoir IAM federation, comptes security/log archive, KMS/secrets, guardrails.
• Mettre à jour threat model.</t>
  </si>
  <si>
    <t>• Séparation duties démontrée.
• Incident key/PII possède réponse.</t>
  </si>
  <si>
    <t>Security baseline v2</t>
  </si>
  <si>
    <t>Sécurité couvre application, cloud et opérations.</t>
  </si>
  <si>
    <t>DR / BCP SAP</t>
  </si>
  <si>
    <t>Choisir une continuité adaptée au service.</t>
  </si>
  <si>
    <t>• Classer parcours critiques et cohérence événements/données à restaurer.
• Définir validation post-reprise.</t>
  </si>
  <si>
    <t>• Concevoir backup, warm standby ou multi-region selon RTO/RPO/coût.
• Exécuter un test de reprise réduit si possible.</t>
  </si>
  <si>
    <t>• RTO/RPO chiffrés.
• Procédure testée ou précisément simulée.</t>
  </si>
  <si>
    <t>ADR-021 DR plan</t>
  </si>
  <si>
    <t>DR réaliste, mesurable et financable.</t>
  </si>
  <si>
    <t>Design + lab ciblé</t>
  </si>
  <si>
    <t>Data/analytics patterns</t>
  </si>
  <si>
    <t>Archiver et analyser l’historique sans exposer les répondants.</t>
  </si>
  <si>
    <r>
      <rPr>
        <sz val="409.55"/>
        <color rgb="FF111827"/>
        <rFont val="Calibri"/>
      </rPr>
      <t xml:space="preserve">• POC export S3 partitionné + requête Athena/local équivalent.
• Définir accès et retention.
</t>
    </r>
    <r>
      <rPr>
        <sz val="409.55"/>
        <color rgb="FFC2410C"/>
        <rFont val="Calibri"/>
      </rPr>
      <t xml:space="preserve">
🔎 Détail technique
Data/analytics patterns (Terraform) :
  aws_s3_bucket teampulse-cold + versioning + SSE-KMS
  lifecycle : Glacier à 730j, Deep Archive à 1825j
  aws_glue_catalog_database + table (partitions org_id/year/month, Parquet)
  aws_athena_workgroup (bytes_scanned_cutoff 5GB/query)
  IAM least privilege :
    etl-service : PutObject only (pas DeleteObject sur S3)
    insights : GetObject + Athena query READ only
  Cost guardrail : alarme AthenaBytesScanned &gt; 100GB/mois
  LocalStack : S3+Glue (Pro) ; Athena à valider en vrai AWS court
  ADR-T10 hot vs cold + analyse coût</t>
    </r>
  </si>
  <si>
    <t>Décision data / ADR-T10 hot vs cold</t>
  </si>
  <si>
    <t>Analytics respecte privacy et coût maîtrisé.</t>
  </si>
  <si>
    <t>LocalStack/AWS court</t>
  </si>
  <si>
    <t>Performance efficiency SAP</t>
  </si>
  <si>
    <t>Adapter la solution à la croissance.</t>
  </si>
  <si>
    <t>• Tester scénario grande organisation / volumes events.
• Choisir optimisation application/projection/cache.</t>
  </si>
  <si>
    <t>• Dimensionner options RDS/Dynamo/cache/EKS/serverless selon parcours.
• Mesurer POC ciblé.</t>
  </si>
  <si>
    <t>• Comparaison performance/coût/complexité.
• Choix documenté.</t>
  </si>
  <si>
    <t>Rapport performance v4</t>
  </si>
  <si>
    <t>Optimisation architecturale expliquée par charge.</t>
  </si>
  <si>
    <t>Lab/design</t>
  </si>
  <si>
    <t>Cost optimization SAP</t>
  </si>
  <si>
    <t>Construire un modèle coût défendable.</t>
  </si>
  <si>
    <t>• Définir unités métier : organisation active, pulse soumis, webhook, export.
• Identifier options feature tiering.</t>
  </si>
  <si>
    <t>• Estimer coûts cible par composant/env ; prévoir budgets/rightsizing/retention.
• Comparer architecture premium/lean.</t>
  </si>
  <si>
    <t>• Modèle coût contient hypothèses.
• Actions selon seuils définies.</t>
  </si>
  <si>
    <t>Coût relié à usage et aux décisions.</t>
  </si>
  <si>
    <t>Operational excellence SAP</t>
  </si>
  <si>
    <t>Faire exploiter la plateforme par une équipe.</t>
  </si>
  <si>
    <t>• Finaliser admin operations nécessaires : replay event, export audit, feature flag.
• Auditer toutes opérations sensibles.</t>
  </si>
  <si>
    <t>• Finaliser dashboards, SLO, alerting, automation, on-call/runbooks.
• Créer checklist release/incident.</t>
  </si>
  <si>
    <t>• Simulation déploiement + incident + reprise.
• Documentation permet exécution par tiers.</t>
  </si>
  <si>
    <t>Plateforme opérable selon standards définis.</t>
  </si>
  <si>
    <t>Mock exam / design gap 1</t>
  </si>
  <si>
    <t>Transformer erreurs SAP en modifications utiles de TeamPulse.</t>
  </si>
  <si>
    <t>• Choisir un gap produit/architecture issu du mock et corriger design ou code.
• Mettre à jour tests/docs correspondants.</t>
  </si>
  <si>
    <t>• Choisir un gap cloud/ops et réaliser POC ou design détaillé.
• Mettre à jour backlog.</t>
  </si>
  <si>
    <t>• Mock analysé par thème.
• Deux lacunes réduites par preuves.</t>
  </si>
  <si>
    <t>Gaps SAP top 20 v1</t>
  </si>
  <si>
    <t>Révision connectée au projet, pas seulement QCM.</t>
  </si>
  <si>
    <t>Remédiation #1</t>
  </si>
  <si>
    <t>Renforcer trois domaines faibles identifiés.</t>
  </si>
  <si>
    <t>• Corriger ou améliorer un flux critique choisi : auth, pulse, webhook ou insights.
• Ajouter test de non-régression.</t>
  </si>
  <si>
    <t>• Refaire 2 labs faibles : réseau/data/security/DR selon résultat.
• Documenter commandes et teardown.</t>
  </si>
  <si>
    <t>• Labs réussis sans copier un tutoriel.
• Cheat sheet mise à jour.</t>
  </si>
  <si>
    <t>Cheat sheet v3 + commits correctifs</t>
  </si>
  <si>
    <t>Faiblesses principales ont une preuve pratique.</t>
  </si>
  <si>
    <t>Lab ciblé</t>
  </si>
  <si>
    <t>Mock exam / design gap 2</t>
  </si>
  <si>
    <t>Vérifier l’amélioration et trouver les derniers trous.</t>
  </si>
  <si>
    <t>• Relire architecture TeamPulse face aux questions ratées.
• Mettre à jour une décision contestable.</t>
  </si>
  <si>
    <t>• Faire nouveau mock et classer erreurs architecture/services.
• Sélectionner labs finaux.</t>
  </si>
  <si>
    <t>• Progression mesurée.
• Backlog limité à gaps importants.</t>
  </si>
  <si>
    <t>Préparation concentrée sur lacunes restantes.</t>
  </si>
  <si>
    <t>Remédiation #2</t>
  </si>
  <si>
    <t>Approfondir les services AWS encore peu maîtrisés.</t>
  </si>
  <si>
    <t>• Adapter uniquement si un choix TeamPulse est concerné ; éviter feature creep.
• Ajouter note d’alternative architecturale.</t>
  </si>
  <si>
    <t>• Réaliser labs ciblés et mise à jour diagrammes/coût/sécurité.
• Vérifier teardown.</t>
  </si>
  <si>
    <t>• Expliquer choix en langage architecture.
• Notes synthèse limitées et actionnables.</t>
  </si>
  <si>
    <t>Notes synthèse SAP</t>
  </si>
  <si>
    <t>Derniers services faibles compris par cas d’usage.</t>
  </si>
  <si>
    <t>System design timed</t>
  </si>
  <si>
    <t>S’entraîner à concevoir vite sous contrainte.</t>
  </si>
  <si>
    <t>• Scénario 1 : TeamPulse enterprise multi-tenant réglementé.
• Scénario 2 : TeamPulse global avec webhooks et analytics.</t>
  </si>
  <si>
    <t>• Produire diagrammes, services AWS, sécurité, DR, coût et ops en temps limité.
• Comparer aux choix existants.</t>
  </si>
  <si>
    <t>• Deux designs en 45–60 min.
• Auto-review checklist et corrections.</t>
  </si>
  <si>
    <t>Deux réponses system design</t>
  </si>
  <si>
    <t>Tu sais articuler trade-offs sous pression.</t>
  </si>
  <si>
    <t>Well-Architected review complète</t>
  </si>
  <si>
    <t>Auditer TeamPulse sur les piliers AWS.</t>
  </si>
  <si>
    <t>• Passer en revue code : reliability, privacy/security, maintainability.
• Corriger un finding applicatif prioritaire.</t>
  </si>
  <si>
    <t>• Passer en revue cloud/CI/IaC/ops/cost/sustainability.
• Créer actions classées criticité.</t>
  </si>
  <si>
    <t>• Review remplie avec preuves.
• Top action corrigée ou planifiée.</t>
  </si>
  <si>
    <t>Revue complète relie risques, preuves et actions.</t>
  </si>
  <si>
    <t>Mock final</t>
  </si>
  <si>
    <t>Valider readiness certification et compétence pratique.</t>
  </si>
  <si>
    <t>• Éviter nouvelles features ; corriger uniquement bug bloquant démo.
• Relire ADRs majeures.</t>
  </si>
  <si>
    <t>• Faire mock final et vérifier labs/diagrammes associés aux erreurs.
• Stabiliser environnement démo.</t>
  </si>
  <si>
    <t>• Seuil readiness atteint ou décision honnête de décaler.
• Checklist finalisée.</t>
  </si>
  <si>
    <t>Readiness évaluée sur résultats et preuves.</t>
  </si>
  <si>
    <t>Labs à blanc</t>
  </si>
  <si>
    <t>Reproduire des opérations sans guide détaillé.</t>
  </si>
  <si>
    <t>• Exécuter smoke tests automatisés de la release v1.0.
• Valider data/privacy après restore/redeploy.</t>
  </si>
  <si>
    <t>• Refaire 2 labs à blanc : déploiement/DR ou réseau/sécurité.
• Suivre seulement tes runbooks.</t>
  </si>
  <si>
    <t>• Runbooks suffisent pour réussir.
• Temps et erreurs notés.</t>
  </si>
  <si>
    <t>Compétence opérationnelle autonome démontrée.</t>
  </si>
  <si>
    <t>Repos actif</t>
  </si>
  <si>
    <t>Conserver la qualité sans surcharge mentale.</t>
  </si>
  <si>
    <t>• Lire architecture/code uniquement pour vérifier cohérence.
• Aucune nouvelle feature.</t>
  </si>
  <si>
    <t>• Vérifier que ressources AWS de lab sont éteintes.
• Relire runbooks clés.</t>
  </si>
  <si>
    <t>• Repo propre, pipeline vert, coût nul hors besoins.
• Repos maintenu.</t>
  </si>
  <si>
    <t>Plan semaine examen</t>
  </si>
  <si>
    <t>Système stable et charge réduite.</t>
  </si>
  <si>
    <t>Repos / review</t>
  </si>
  <si>
    <t>Final review</t>
  </si>
  <si>
    <t>Préparer la synthèse finale de tout le parcours.</t>
  </si>
  <si>
    <t>• Tag release v1.0 candidate et figer démo.
• Résumer features et règles privacy/tenant/events.</t>
  </si>
  <si>
    <t>• Finaliser diagrammes, docs IaC/GitOps/SLO/DR/cost/security.
• Vérifier scripts setup/destroy.</t>
  </si>
  <si>
    <t>• Démo complète répétée.
• Aucune dette critique inconnue.</t>
  </si>
  <si>
    <t>Last minute notes + release candidate</t>
  </si>
  <si>
    <t>Portfolio prêt et architecture racontable.</t>
  </si>
  <si>
    <t>Certification / retour</t>
  </si>
  <si>
    <t>Capitaliser quelle que soit l’issue de la certification.</t>
  </si>
  <si>
    <t>• Après examen, noter concepts difficiles et impacts possibles sur TeamPulse.
• Ne corriger que décisions réellement améliorables.</t>
  </si>
  <si>
    <t>• Mettre à jour roadmap de maturité plateforme/cloud.
• Archiver résultats et coûts labs.</t>
  </si>
  <si>
    <t>• Retour d’expérience écrit.
• Prochaines étapes réalistes.</t>
  </si>
  <si>
    <t>Apprentissage capitalisé au-delà de la certification.</t>
  </si>
  <si>
    <t>Clôture / année 3</t>
  </si>
  <si>
    <t>• Tagger release finale démontrable ; préparer présentation architecture.
• Lister modules réutilisables, décisions et impacts.</t>
  </si>
  <si>
    <t>• Rassembler IaC, CI/CD, GitOps, dashboards, security, DR, cost et incidents.
• Choisir axe principal + secondaire de l’Année 3.</t>
  </si>
  <si>
    <t>• Démo 15 min + entretien blanc.
• Portfolio, CV bullets et backlog année 3 prêts.</t>
  </si>
  <si>
    <t>Clôture</t>
  </si>
  <si>
    <t>Tâches TeamPulse — synthèse (détails : sheet « TeamPulse - Exécution »)</t>
  </si>
  <si>
    <t>• Créer projet Spring Boot TeamPulse
• Entity User + Repository + Controller
• Dockerfile v1 simple
• Tester docker build/run
━━ Extensions architecture TeamPulse ━━
• Multi-tenant dès J1 : org_id NOT NULL sur les données tenant ; Organization est la racine et le compte plateforme reste hors tenant
• Spring Boot 3.5+ avec Java 21 (records pour DTOs, virtual threads pour controllers I/O)
• docker-compose racine : localstack + postgres + spring + angular (toggle local/aws via env)
• ADR-T01 "Multi-tenancy strategy"
━━ Scénario métier validé ━━
• Distinguer compte plateforme et utilisateur d'organisation
• Un utilisateur métier appartient à une seule organisation
• Modéliser rôles contextualisés et TeamMembership temporelle
• Première API d'administration organisation/équipe
• Documenter ADR-W001-T04 et ADR-W001-T05</t>
  </si>
  <si>
    <t>• Configurer application.yml PostgreSQL
• Créer docker-compose.yml (api+db)
• Ajouter healthcheck Actuator
• Tester persistance données
━━ Scénario métier validé ━━
• Persister les rôles et périodes joinedAt/endedAt
• Retirer un membre sans supprimer l'historique
• Refuser toute appartenance cross-org</t>
  </si>
  <si>
    <t>• Créer .dockerignore
• Refactorer multi-stage build
• Ajouter user non-root
• Comparer taille images
• Rédiger ADR-001</t>
  </si>
  <si>
    <t>• Configurer Actuator (health, metrics)
• Configurer logs JSON
• Compléter CRUD User (PUT, DELETE)
• Ajouter Entity Team + relation
━━ Scénario métier validé ━━
• UI d'administration : organisation, équipes, membres et rôles
• Montrer la perte d'accès après retrait</t>
  </si>
  <si>
    <t>• Créer repo GitLab + push code
• Premier .gitlab-ci.yml (build)
• Ajouter stage test
• Écrire tests unitaires UserService</t>
  </si>
  <si>
    <t>• Ajouter stage package
• Configurer GitLab Container Registry
• Ajouter stage docker (build+push)
• Rédiger ADR-002</t>
  </si>
  <si>
    <t>• Ajouter JaCoCo dans pom.xml
• Ajouter Checkstyle
• Configurer seuils qualité
• Stage quality dans pipeline</t>
  </si>
  <si>
    <t>• Ajouter Spring Security + JWT
• Implémenter AuthController
• Stage deploy (docker-compose)
• Runbook deploy/rollback
━━ Extensions architecture TeamPulse ━━
• JWT enrichi avec claim org_id (tenant context)
• Filter Spring qui pousse org_id dans un ScopedValue&lt;TenantContext&gt; (Java 21)
• Test sécu : requête sans tenant context = 403, mauvais tenant = 404
• ADR-T02 "Tenant context propagation"
━━ Scénario métier validé ━━
• JWT org_id + rôles d'organisation
• Résoudre les permissions d'équipe côté application
• Refuser le tenant aux comptes plateforme
• Auditer changements de rôle et retraits urgents</t>
  </si>
  <si>
    <t>• Créer compte AWS + MFA
• IAM user admin
• Policy TeamPulseDeployPolicy
• Role TeamPulseEC2Role
• ADR-003</t>
  </si>
  <si>
    <t>• Dessiner architecture VPC
• Créer VPC + subnets (2 AZ)
• Configurer IGW + NAT
• Diagramme réseau v1</t>
  </si>
  <si>
    <t>• Rattraper retard accumulé sur Docker/CI/AWS basics
• Réviser ADR-001 → ADR-003 + runbooks produits
• Nettoyer backlog Phase 1
• Repos mental si déjà à jour (sport + couple)</t>
  </si>
  <si>
    <t>💡 Tampon pédagogique (toutes les ~10 sem)</t>
  </si>
  <si>
    <t>• Créer Security Groups (ALB, EC2)
• Lancer EC2 + User Data
• Créer ALB + Target Group
• Déployer TeamPulse sur EC2</t>
  </si>
  <si>
    <t>• Créer RDS PostgreSQL
• Connecter TeamPulse à RDS
• CloudWatch Logs
• Alarme CPU &gt; 80%</t>
  </si>
  <si>
    <t>• Installer Terraform
• Créer structure projet
• Module VPC complet
• terraform apply
• ADR-004</t>
  </si>
  <si>
    <t>• Module compute (squelette)
• Security Groups Terraform
• EC2 + User Data
• ALB + Target Group</t>
  </si>
  <si>
    <t>• Module data
• RDS Terraform
• Secrets Manager
• Runbook restore DB
━━ Extensions architecture TeamPulse ━━
• PostgreSQL Row-Level Security (RLS) activé sur les tables tenant-aware
• Flyway : V001__init.sql, V002__rls_policies.sql, V003__seed.sql
• Défense en profondeur : RLS = filet de sécurité côté DB en plus du filtre applicatif
• ADR-T03 "App-level vs DB-level tenant isolation"</t>
  </si>
  <si>
    <t>• S3 backend
• Structure multi-env
• Environnement staging
• Conventions documentées</t>
  </si>
  <si>
    <t>• Implémenter ASG Terraform
• Launch Template
• Scaling policies
• ADR-005</t>
  </si>
  <si>
    <t>• Bucket S3 pour assets
• Lifecycle rules
• Encryption KMS
• Module S3 Terraform</t>
  </si>
  <si>
    <t>• KMS key pour RDS
• Activer CloudTrail
• Threat model TeamPulse
━━ Extensions architecture TeamPulse ━━
• Threat model : ajouter scénarios re-identification (équipe de 3, moyenne mood révèle l'auteur)
• Décision k-anonymity : seuil k=4 par défaut, paramétrable par org
• UI fallback : "Données masquées (k&lt;4 répondants)" + raison explicite
• ADR-T04 "Privacy thresholds &amp; k-anonymity" (argument GDPR/CNIL solide)
━━ Scénario métier validé ━━
• Introduire campagne hebdomadaire, réponse unique et seuil k=4
• Préparer résultats, alertes et propositions d'action</t>
  </si>
  <si>
    <t>• VPC endpoint S3
• SSM Session Manager
• Supprimer bastion
• Diagramme réseau v3</t>
  </si>
  <si>
    <t>• Rattraper retard Terraform/SAA si besoin
• Consolider ADRs Phase 1 (1 à 5)
• Préparer mentalement le sprint SAA-C03 (W21-W26)
• Repos + sport prioritaires</t>
  </si>
  <si>
    <t>💡 Tampon pédagogique (juste avant sprint certif SAA)</t>
  </si>
  <si>
    <t>• Dashboard CloudWatch complet
• Test panne (kill instance)
• Observer recovery ASG
• Postmortem template</t>
  </si>
  <si>
    <t>• Tagging strategy complète
• Budget AWS
• Alertes coûts
• ADR-006</t>
  </si>
  <si>
    <t>• Mini Lambda (ex: notification)
• API Gateway trigger
• Comparaison EC2 vs serverless</t>
  </si>
  <si>
    <t>• Passer examen blanc
• Analyser résultats
• Identifier gaps
• Backlog révision</t>
  </si>
  <si>
    <t>• Labs sur points faibles
• Examen blanc 2
• Cheat sheet v1</t>
  </si>
  <si>
    <t>• Refaire 2 labs faibles
• WA review sur TeamPulse
• Portfolio Phase 1
• 🎯 PASSAGE CERTIF SAA-C03
━━ Scénario métier validé ━━
• Démontrer la boucle v0.1 : admin → campagne → résultats → action → vote
• Retirer un membre : ancien vote conservé, accès futur refusé</t>
  </si>
  <si>
    <t>CERTIFICATION</t>
  </si>
  <si>
    <t>• Présenter portfolio Phase 1 à 1 pair architecte
  (collègue Enedis senior, mentor, ou communauté)
• Recevoir feedback critique sur 3 ADRs au choix
• Identifier 3 axes d'amélioration concrets
• Mettre à jour backlog Phase 2</t>
  </si>
  <si>
    <t>💡 Boucle de feedback externe (1x/trimestre)</t>
  </si>
  <si>
    <t>• Installer minikube/kind
• Déployer TeamPulse sur K8s local
• Deployment + Service</t>
  </si>
  <si>
    <t>• ConfigMap pour application.yml
• Secret pour DB password
• Liveness + readiness probes</t>
  </si>
  <si>
    <t>• Installer Ingress controller
• Configurer Ingress TeamPulse
• TLS local (self-signed)</t>
  </si>
  <si>
    <t>• Créer Helm chart TeamPulse
• values.yaml (dev/staging)
• Templates deployments/services</t>
  </si>
  <si>
    <t>• Rattraper retard K8s/EKS si besoin
• Stabiliser Helm chart TeamPulse
• Nettoyer manifests + values par env
• Repos</t>
  </si>
  <si>
    <t>💡 Tampon pédagogique</t>
  </si>
  <si>
    <t>• Centraliser logs (Loki ou EFK)
• Dashboard logs queries
• Correlation-id</t>
  </si>
  <si>
    <t>• Module EKS Terraform
• Déployer Helm chart sur EKS
• Diagramme infra EKS</t>
  </si>
  <si>
    <t>• Configurer HPA
• Test charge (hey/k6)
• Ajuster seuils
• SLO simple</t>
  </si>
  <si>
    <t>• PVC pour données
• StorageClass EBS
• Runbook data K8s</t>
  </si>
  <si>
    <t>• Network policies
• RBAC TeamPulse
• Threat model v2</t>
  </si>
  <si>
    <t>• Rolling update strategy
• Test rollback
• Runbook release</t>
  </si>
  <si>
    <t>• 5 pannes simulées
• DNS, readiness, imagepull...
• Checklist debug</t>
  </si>
  <si>
    <t>• Stabiliser EKS
• Documenter ops
• EKS Ops Guide v1</t>
  </si>
  <si>
    <t>• Logs JSON + correlation-id
• Standard logging TeamPulse
• Recherche par correlation-id</t>
  </si>
  <si>
    <t>• Installer Prometheus
• Métriques Spring Boot
• Dashboard Grafana v1</t>
  </si>
  <si>
    <t>• Rattraper observabilité Prometheus/Grafana
• Stabiliser dashboards + alertes utiles
• Nettoyer alertes bruyantes
• Repos</t>
  </si>
  <si>
    <t>• AlertManager
• Alertes utiles (pas bruyantes)
• Matrice alertes</t>
  </si>
  <si>
    <t>• Ajouter OpenTelemetry
• Jaeger ou Tempo
• 3 traces de référence</t>
  </si>
  <si>
    <t>• Définir SLOs TeamPulse
• Error budget
• Doc SLO</t>
  </si>
  <si>
    <t>• Exercice incident 60min
• Postmortem réel
• Process incident</t>
  </si>
  <si>
    <t>• Test charge complet
• Ajustements HPA/resources
• ADR-008</t>
  </si>
  <si>
    <t>• Pack ops complet
• Dashboards + alerts + runbooks
• Portfolio Phase 2a</t>
  </si>
  <si>
    <t>• Rédiger 1 article LinkedIn sur observability stack TeamPulse
• Mini-talk interne Enedis (15 min) si possible
• Vidéo démo 3 min (dashboards + alerts + runbooks)
• Networking architectes (communauté ou Enedis)</t>
  </si>
  <si>
    <t>💡 Jalon visibilité mi-Phase 2 (motivation + reseau)</t>
  </si>
  <si>
    <t>• Split en 2 services (user, team)
• Service discovery
• Diagramme C4
━━ Extensions architecture TeamPulse ━━
• Split en 4 services TOUS tenant-aware : identity / team / pulse / insights
• Renommer "analytics" → "insights" (DDD : Insights inclut k-anonymity + sentiment)
• org_id propagé via headers HTTP ET headers Kafka (jamais dans le body)
• ADR-T05 "Service boundaries &amp; tenant propagation"
━━ Scénario métier validé ━━
• Définir les frontières identity/team/pulse/insights/action-vote
• Préserver org_id et historique lors du split</t>
  </si>
  <si>
    <t>• Spring Cloud Gateway
• Auth au gateway
• ADR-009</t>
  </si>
  <si>
    <t>• Installer Kafka
• Producer/consumer
• Retry policy
━━ Extensions architecture TeamPulse ━━
• Premier event : topic pulse.events.v1 avec PulseSubmitted
• Headers obligatoires : org_id, correlation_id, event_version, event_id (idempotence)
• Démarrer webhook-service : consume tous events → fanout HTTP vers URLs configurées par admin
• ADR-T06 "Webhook delivery model"
━━ Scénario métier validé ━━
• Publier TeamMemberRemoved, CampaignClosed, ResultsPublished, VoteClosed et ActionAccepted</t>
  </si>
  <si>
    <t>• Idempotence consumer
• Tests idempotence
• Checklist
━━ Extensions architecture TeamPulse ━━
• Idempotence webhook-service : dedup par event_id (Redis, TTL 24h)
• Test : rejouer PulseSubmitted 5x ne déclenche qu'1 webhook par destination
• Backoff exponentiel avec jitter (1s, 2s, 4s, 8s, 16s, puis DLQ)</t>
  </si>
  <si>
    <t>• Rattraper Kafka / event-driven si besoin
• Stabiliser POC outbox/saga
• Réviser patterns clean archi / DDD
• Repos</t>
  </si>
  <si>
    <t>• Implémenter outbox
• CDC ou polling
• ADR-010
━━ Extensions architecture TeamPulse ━━
• Outbox sur pulse-service : transaction atomique "save response + insert outbox row"
• Publisher polling (5s) lit outbox → publie kafka → mark sent
• Démo crash : kill pulse-service après save mais avant publish → publication garantie au restart
• ADR-T07 "Outbox guarantees &amp; at-least-once semantics"
━━ Scénario métier validé ━━
• Garantir par outbox qu'un retrait ou vote accepté n'est jamais perdu</t>
  </si>
  <si>
    <t>• Mini-saga (2 services)
• Compensation
• Diagramme séquence</t>
  </si>
  <si>
    <t>• Scénarios d'erreur
• Poison messages
• Runbook</t>
  </si>
  <si>
    <t>• Versioning events
• Backward compatibility
• Standard event schema</t>
  </si>
  <si>
    <t>• Circuit breaker (Resilience4j)
• Timeouts/retries
• ADR-011
━━ Extensions architecture TeamPulse ━━
• Circuit breaker (Resilience4j) sur webhook calls : ouvert si &gt;5s ou &gt;50% erreurs sur 30s
• Bulkhead : max 10 webhooks concurrents par tenant (anti-noisy-neighbor)
• Rate limiter par destination URL (config admin)
• ADR-T08 "Resilience for webhook fanout"</t>
  </si>
  <si>
    <t>• Auth inter-services
• mTLS ou token
• Threat model v3
━━ Extensions architecture TeamPulse ━━
• HMAC-SHA256 : header X-TeamPulse-Signature-256 = hmac-sha256=&lt;digest&gt;
• Timestamp anti-replay (header X-TeamPulse-Timestamp, rejet si drift &gt; 5 min)
• Secret par webhook + rotation via API admin (versioning des clés)
• ADR-T09 "Webhook security model (HMAC + replay protection)"</t>
  </si>
  <si>
    <t>• Bounded contexts TeamPulse
• Data ownership
• Carte bounded contexts
━━ Extensions architecture TeamPulse ━━
• 4 bounded contexts : Identity, Collaboration (teams), Pulse, Insights
• Insights contient : k-anonymity, sentiment analysis (champ blockers), alertes
• Sentiment v0 : dictionnaire YAML mots-clés (burnout, démission, harcèlement…) → flag
• Carte bounded contexts mise à jour avec contexte Insights enrichi
━━ Scénario métier validé ━━
• Centraliser agrégats confidentiels, tendances, alertes et suivi de l'effet des actions</t>
  </si>
  <si>
    <t>📖</t>
  </si>
  <si>
    <t>• Profiling
• Optimisation hotspot
• Rapport perf</t>
  </si>
  <si>
    <t>• Contract tests
• Tests intégration
• Stratégie tests</t>
  </si>
  <si>
    <t>• Canary/blue-green POC
• Runbook release v2</t>
  </si>
  <si>
    <t>• Rattraper retard sur microservices
• Stabiliser architecture cible
• Préparer la revue Phase 2 (W65)
• Repos</t>
  </si>
  <si>
    <t>• Ajustements resources
• Autoscaling microservices
• ADR-012</t>
  </si>
  <si>
    <t>• Stabiliser architecture
• Documentation d'archi
• Architecture Pack v1</t>
  </si>
  <si>
    <t>• Audit technique
• Liste dette tech
• Backlog priorisé</t>
  </si>
  <si>
    <t>• Secrets, policies
• Least privilege
• Checklist sécurité</t>
  </si>
  <si>
    <t>• Nettoyage repo
• Démo '1 clic'
• Portfolio Phase 2 final
━━ Scénario métier validé ━━
• Démontrer le scénario complet sur la version distribuée</t>
  </si>
  <si>
    <t>• Présenter portfolio microservices à 1 pair architecte senior
• Review critique des ADRs 7 à 12 (microservices, events, security)
• Stress-test architecture: questions hostiles
  (que se passe-t-il si Kafka tombe? si auth-service est lent?)
• Identifier 3 gaps avant Phase 3</t>
  </si>
  <si>
    <t>• Refactor infra en modules (network/eks/data)
• Conventions nommage + outputs
• 1er module réutilisable</t>
  </si>
  <si>
    <t>• Backend remote + locking
• Stratégie state par env
• Procédure recovery state</t>
  </si>
  <si>
    <t>• Variables par env + naming
• Plan/apply standardisés
• Outputs &amp; secrets séparés</t>
  </si>
  <si>
    <t>• Tagging obligatoire + budgets
• Checklist conformité (IAM/VPC)
• Préparation policy-as-code (light)</t>
  </si>
  <si>
    <t>• Stockage secrets (concepts)
• Rotation / permissions
• Drill 'credential leak' (simulation)</t>
  </si>
  <si>
    <t>• Mock exam Terraform Associate 004 (#1)
• Réviser objectifs (state, modules, workflow, Terraform Cloud)
• Mock exam #2 + remédiation gaps
• 🎯 PASSAGE CERTIF Terraform Associate 004</t>
  </si>
  <si>
    <t>🎯 CERTIFICATION (manquante du planning original)</t>
  </si>
  <si>
    <t>• Pipeline multi-stages
• Scans (SAST/deps) + quality gates
• Deploy automatisé (dev)</t>
  </si>
  <si>
    <t>• Installer ArgoCD
• Repo 'env' GitOps
• Sync &amp; rollback GitOps</t>
  </si>
  <si>
    <t>• Stratégie canary OU blue/green
• Métriques de validation
• Rollback manuel documenté</t>
  </si>
  <si>
    <t>• Définir signaux (5xx/latency)
• Script/automation rollback
• Test complet en staging</t>
  </si>
  <si>
    <t>• Définir RTO/RPO
• Backup &amp; restore testés
• Documenter procédure DR</t>
  </si>
  <si>
    <t>• Modèle org (dev/stage/prod)
• Séparation IAM &amp; logs
• Checklist onboarding compte</t>
  </si>
  <si>
    <t>• Centraliser CloudTrail/CloudWatch (concept)
• Requête audit type
• Procédure 'audit request'</t>
  </si>
  <si>
    <t>• Choisir pattern (peering vs TGW)
• POC connectivité inter-VPC
• Sécurité réseau</t>
  </si>
  <si>
    <t>• Présenter archi cible (multi-account + GitOps + DR)
  à 1 pair architecte senior
• Stress-test choix réseau &amp; sécurité
• Identifier 3 gaps critiques avant SAP-C02
• Mettre à jour roadmap</t>
  </si>
  <si>
    <t>• Test charge léger
• Ajuster resources/HPA
• Identifier bottlenecks infra</t>
  </si>
  <si>
    <t>• Tags + budgets + alerting
• Rightsizing + cleanup
• Plan optimisation (top 5)</t>
  </si>
  <si>
    <t>• Rattraper retard GitOps / multi-account
• Stabiliser ArgoCD + progressive delivery
• Repos</t>
  </si>
  <si>
    <t>• RBAC + least privilege
• Baseline sécurité pods/images
• Revue permissions service-to-service</t>
  </si>
  <si>
    <t>• Générer SBOM (simple)
• Scans deps/images
• Définir DoD 'secure build'
━━ Extensions architecture TeamPulse ━━
• SBOM inclut le modèle sentiment v0 (dictionnaire) + futures deps ML
• Signature des images docker locales (cosign)
• Scan deps webhook-service en priorité (URL ouverte = grande surface d'attaque)
• Mettre à jour DoD "secure build" avec section webhooks + sentiment</t>
  </si>
  <si>
    <t>• Simuler panne node/service
• Mesurer impact SLO
• Postmortem + actions</t>
  </si>
  <si>
    <t>• Nettoyer infra code
• Documenter 'how to operate'
• Automatiser tâches récurrentes</t>
  </si>
  <si>
    <t>• Revue trade-offs (cost/sec/reliability)
• Top risques + mitigations
• Roadmap court terme</t>
  </si>
  <si>
    <t>• Scénarios HA (AZ failure)
• Tester failover
• Ajuster runbooks</t>
  </si>
  <si>
    <t>• Ownership données par service
• Politiques backup/restore
• Revue indexes/partitioning</t>
  </si>
  <si>
    <t>• Revue OWASP top risks
• Least privilege IAM review
• Secrets/policies hardening</t>
  </si>
  <si>
    <t>• Standards tags + naming
• Guardrails (budgets, policies)
• Checklist compliance v2</t>
  </si>
  <si>
    <t>• Traces de référence
• Réduire latence P95
• Optimisation DB/app
━━ Scénario métier validé ━━
• Mesurer et optimiser le parcours manager : résultats → proposition → vote</t>
  </si>
  <si>
    <t>• Rattraper perf / observabilité avancée
• Nettoyer toil restant
• Repos</t>
  </si>
  <si>
    <t>• Lister toil
• Automatiser 1-2 runbooks
• Améliorer alerting (noise)</t>
  </si>
  <si>
    <t>• Guide onboarding
• Diagrammes C4 à jour
• Runbooks triés &amp; indexés</t>
  </si>
  <si>
    <t>• 2 designs (45-60 min)
• Évaluer trade-offs
• Améliorer structure réponse</t>
  </si>
  <si>
    <t>• Exercice incident
• Collecte timeline
• Postmortem + actions</t>
  </si>
  <si>
    <t>• Simuler fuite credentials
• Rotation + audit
• Améliorer contrôles</t>
  </si>
  <si>
    <t>• Identifier driver coût
• Mesures immédiates
• Prévention (budgets/alerts)</t>
  </si>
  <si>
    <t>• Définir defaults
• Aligner sur SLO
• Documenter + ADR</t>
  </si>
  <si>
    <t>• Carte services (compute/data/messaging)
• Comparatifs
• Cheatsheet v2</t>
  </si>
  <si>
    <t>• Nettoyer repo
• Démo '1 clic'
• Captures + liens</t>
  </si>
  <si>
    <t>• Identifier 3 faiblesses
• Labs ciblés
• Mettre à jour docs</t>
  </si>
  <si>
    <t>• Rattraper retard avant sprint SAP-C02 (W101-W121)
• Consolider portfolio v3
• Repos cerveau (essentiel: SAP demande du calme)
• Vérifier logistique exam blanc</t>
  </si>
  <si>
    <t>💡 Tampon pédagogique (CRITIQUE avant SAP-C02)</t>
  </si>
  <si>
    <t>• Évaluer niveau (mini mock)
• Plan de révision SAP
• Backlog SAP</t>
  </si>
  <si>
    <t>• 1 design complet + ADR
• Revue sécurité/coût
• Justifier choix</t>
  </si>
  <si>
    <t>• Scénario migration
• Plan par étapes
• Risques + mitigations</t>
  </si>
  <si>
    <t>• VPC/TGW/peering/VPN
• Scénario complexe
• Sécurité réseau</t>
  </si>
  <si>
    <t>• Présenter designs (migration, multi-account, networking)
  à 1 pair architecte senior (idéalement SAP-certifié)
• Review critique de 2 cas d'étude SAP
• Identifier 3 gaps avant examen final
• Ajuster cheat sheet</t>
  </si>
  <si>
    <t>💡 Boucle de feedback externe (dernière avant SAP)</t>
  </si>
  <si>
    <t>• Multi-account security
• Logs/audit
• KMS/IAM stratégie</t>
  </si>
  <si>
    <t>• DR plan détaillé
• Test restore
• RTO/RPO revus</t>
  </si>
  <si>
    <t>• Choix DB/streams
• Pipeline concept
• Décision data
━━ Extensions architecture TeamPulse ━━
• Pipeline ETL : pulse_responses → S3 (Kafka Connect S3 sink ou job nightly)
• Format Parquet partitionné par org_id/year/month
• Athena queries pour analytics historiques (&gt;6 mois, hors hot path Postgres)
• ADR-T10 "Hot (Postgres) vs Cold (S3+Athena) storage strategy"
• LocalStack : design + POC Kafka Connect; Athena query à valider en vrai AWS
━━ Scénario métier validé ━━
• Archiver l'historique sans exposer réponses ou votes individuels</t>
  </si>
  <si>
    <t>• Optimisation ciblée
• Mesure avant/après
• Ajuster scaling</t>
  </si>
  <si>
    <t>• Stratégie coûts
• Guardrails
• Plan optimisation</t>
  </si>
  <si>
    <t>• CI/CD ops patterns
• Déploiements sûrs
• Logging/monitoring à l’échelle</t>
  </si>
  <si>
    <t>• Rattraper avant mock SAP final
• Repos cerveau (PAS de nouveau sujet)
• Cheat sheet à jour
• Sport + sommeil prioritaires</t>
  </si>
  <si>
    <t>• Mock exam
• Analyse erreurs
• Liste top 20 gaps</t>
  </si>
  <si>
    <t>• Labs ciblés
• Résumé services faibles
• Mettre à jour cheat sheet</t>
  </si>
  <si>
    <t>• Mock exam
• Analyse erreurs
• Backlog gaps v2</t>
  </si>
  <si>
    <t>• Deep dive
• Notes synthèse
• 10 pages max</t>
  </si>
  <si>
    <t>• 2 designs (45-60 min)
• Correction
• Standard réponse</t>
  </si>
  <si>
    <t>• Revue piliers
• Actions priorisées
• Prépa dernière ligne droite</t>
  </si>
  <si>
    <t>• Mock exam
• Remédiation
• Cheat sheet v4</t>
  </si>
  <si>
    <t>• 2 labs complets
• Chronométrer
• Checklist readiness</t>
  </si>
  <si>
    <t>• Review points faibles
• Sommeil + sport
• Pas de nouveau sujet</t>
  </si>
  <si>
    <t>• Revoir cheat sheet
• 30 QCM ciblés
• Préparer logistique exam</t>
  </si>
  <si>
    <t>• PASSAGE CERTIF
• Noter erreurs
• Plan next steps</t>
  </si>
  <si>
    <t>• Portfolio final
• CV bullets
• Roadmap 12 mois
━━ Scénario métier validé ━━
• Utiliser le scénario complet comme preuve de raisonnement architectural</t>
  </si>
  <si>
    <t>• Présenter portfolio final à 2-3 architectes seniors
  (différents contextes: ESN, produit, cloud-native)
• Réception feedback final + ajustements CV/LinkedIn
• Plan 90 jours pro affiné
• Décision Année 3: axe A/B/C/D OU stop OU pause</t>
  </si>
  <si>
    <t>💡 Validation externe avant Année 3 optionnelle</t>
  </si>
  <si>
    <t>Monolithe modulaire dockerisé + release métier v0.1 déployée AWS</t>
  </si>
  <si>
    <t>• Organisations, utilisateurs, équipes et rôles contextualisés
• Campagne hebdomadaire, résultats confidentiels
• Propositions d'action et votes
• Auth JWT, healthcheck et quality gates</t>
  </si>
  <si>
    <t>• Spring Boot / PostgreSQL
• Docker / CI
• Terraform
• AWS (VPC, EC2, ALB, RDS)</t>
  </si>
  <si>
    <t>Parcours complet opéré sur EKS puis services autonomes</t>
  </si>
  <si>
    <t>• Extraction identity, team, pulse, insights et action/vote
• API Gateway et événements tenant-aware
• Outbox, idempotence et webhooks
• Observabilité et résilience complètes</t>
  </si>
  <si>
    <t>• Kubernetes/EKS / Helm
• Kafka
• Prometheus/Grafana / OpenTelemetry
• Spring Cloud</t>
  </si>
  <si>
    <t>Plateforme multi-environnement industrialisée</t>
  </si>
  <si>
    <t>• GitOps et progressive delivery
• Multi-account AWS et DR testé
• Historique/audit immuable
• Analytics respectant confidentialité et coût
• Security hardening</t>
  </si>
  <si>
    <t>• Argo CD / Vault
• Terraform avancé
• Multi-region AWS
• Stockage hot/cold</t>
  </si>
  <si>
    <t>🟠 TeamPulse — 6 capacités métier au service de l'architecture</t>
  </si>
  <si>
    <t>Ces capacités donnent une continuité fonctionnelle au parcours : chaque étape de la roadmap résout un problème observable du même produit, sans transformer le cours en projet fonctionnel exhaustif.</t>
  </si>
  <si>
    <t>1. Gouvernance et rôles contextualisés</t>
  </si>
  <si>
    <t>P1 → P3</t>
  </si>
  <si>
    <t>W001, W002-W004, W008, W047</t>
  </si>
  <si>
    <t>ADR-W001-T04 Frontière tenant
ADR-W001-T05 Rôles et membership
ADR-T05 Service boundaries</t>
  </si>
  <si>
    <t>• compte plateforme sans org et sans accès tenant
• utilisateur rattaché à une seule organisation
• rôles cumulatifs mais non hiérarchiques
• retrait = fin de période, jamais suppression
• tests cross-org et permissions par équipe</t>
  </si>
  <si>
    <t>Ports applicatifs et modèles Java purs
Persistence PostgreSQL tenant-aware
JWT org_id + rôles en W008
Tests d'autorisation
Historique joined_at / ended_at</t>
  </si>
  <si>
    <t>2. Boucle campagne → action → vote</t>
  </si>
  <si>
    <t>W017-W026, W040, W047-W057</t>
  </si>
  <si>
    <t>ADR Campaign lifecycle
ADR Vote eligibility snapshot
ADR Action workflow</t>
  </si>
  <si>
    <t>• 1 réponse par membre/équipe/campagne
• scores, tendances, alertes et commentaires anonymisés
• action proposée par le manager et votée par les membres
• 1 bulletin par membre/scrutin
• retrait ultérieur sans recalcul historique</t>
  </si>
  <si>
    <t>State machine campagne/action
Contraintes SQL + idempotence
Read models dashboard
Snapshot d'éligibilité
Audit events</t>
  </si>
  <si>
    <t>3. Multi-tenancy dès J1</t>
  </si>
  <si>
    <t>W001, W008, W015, W047, W057</t>
  </si>
  <si>
    <t>ADR-W001-T04 Multi-tenancy
ADR-T02 Tenant context propagation
ADR-T03 App-level vs DB-level isolation
ADR-T05 Service boundaries</t>
  </si>
  <si>
    <t>• org_id NOT NULL sur les données possédées par un tenant
• Organization reste la racine sans org_id réflexif
• endpoints tenant refusés sans contexte
• tenant A ne voit jamais la donnée tenant B
• événements portent org_id lors du split</t>
  </si>
  <si>
    <t>Spring Boot / Java
TenantContext hors domaine
PostgreSQL RLS en défense en profondeur
JWT claim org_id
Flyway versionné</t>
  </si>
  <si>
    <t>4. Privacy-by-design (k-anonymity)</t>
  </si>
  <si>
    <t>P1 → P2</t>
  </si>
  <si>
    <t>W019, W057
(logique dans Insights context)</t>
  </si>
  <si>
    <t>ADR-T04 Privacy thresholds &amp; k-anonymity</t>
  </si>
  <si>
    <t>• count_distinct &lt; k → agrégat masqué
• seuil k configurable par org, défaut k=4
• UI explique les données masquées
• aucune réponse ou vote individuel exposé
• retrait d'un membre ne recalcule pas un résultat publié</t>
  </si>
  <si>
    <t>Logique centralisée dans insights-service
Composant Angular de masquage
Tests property-based
Threat model ré-identification</t>
  </si>
  <si>
    <t>5. Webhooks sortants HMAC</t>
  </si>
  <si>
    <t>P2 → P3</t>
  </si>
  <si>
    <t>W047, W049-W051, W055-W056, W082</t>
  </si>
  <si>
    <t>ADR-T06 Webhook delivery model
ADR-T07 Outbox guarantees
ADR-T08 Resilience for webhook fanout
ADR-T09 Webhook security</t>
  </si>
  <si>
    <t>• HMAC-SHA256 sur les payloads
• anti-replay par timestamp
• outbox at-least-once + consumer idempotent
• circuit breaker par destination
• métriques succès/P95/DLQ</t>
  </si>
  <si>
    <t>Kafka ou SQS/SNS
Resilience4j
Redis dedup
Virtual threads
cosign en Phase 3</t>
  </si>
  <si>
    <t>6. Sentiment analysis sur blockers</t>
  </si>
  <si>
    <t>P2 (v0) → P3 (v1) → A3 (v2 ML)</t>
  </si>
  <si>
    <t>W057 (v0 dictionnaire)
W107 (cold storage)
Année 3 Axe D</t>
  </si>
  <si>
    <t>ADR-T10 Hot vs Cold storage
ADR futur choix modèle ML</t>
  </si>
  <si>
    <t>• analyse uniquement après règles de confidentialité
• v0 dictionnaire explicable
• SLO inference &lt; 200 ms P95 pour v1
• historique froid anonymisé et maîtrisé en coût
• modèle traçable dans la supply chain</t>
  </si>
  <si>
    <t>v0 YAML + regex
v1 modèle isolé
Container Python
Kafka Connect S3
Athena ou Trino local</t>
  </si>
  <si>
    <t>CODE
Monolithe modulaire W001–W046 ; extraction microservices à partir de W047. Le fil métier admin → campagne → résultats → action → vote progresse sans compromettre multi-tenancy ni privacy-by-design.</t>
  </si>
  <si>
    <t>• Initialiser backend Spring Boot Java 21 : modules organization, identity, team, common.
• Créer Organization (racine tenant), OrganizationUser, Team et TeamMembership ; orgId obligatoire seulement sur les données possédées par le tenant.
• Créer endpoints GET /actuator/health et POST/GET minimal /api/users.
🔎 Détail technique
Arbo Maven multi-module :
  teampulse-parent (pom)
├─ tp-common       → identifiants, erreurs et utilitaires Java purs
   ├─ tp-organization │ tp-identity │ tp-team
   └─ tp-app          → @SpringBootApplication, config
pom parent : Spring Boot 3.5.x, Java 21
  starters: web, data-jpa, validation, actuator
  flyway-core + flyway-database-postgresql, postgresql
Modèles métier sans JPA : Organization sans orgId réflexif ; OrganizationUser avec orgId unique ; Team tenant-aware ; TeamMembership(joinedAt, endedAt, statut) avec rôles contextualisés
DTO en records Java 21 :
  record UserDto(Long id, String email, String name) {}
  record CreateUserRequest(@Email String email, @NotBlank String name){}
UserController : POST/GET /api/users
  (orgId = 1L en dur cette semaine, JWT en W008)
application.yml :
  spring.threads.virtual.enabled: true   # virtual threads
  spring.jpa.hibernate.ddl-auto: validate # Flyway maître
━━ Scénario métier validé ━━
• Compte plateforme hors tenant ; utilisateur métier dans une seule organisation
• Rôles ORG_ADMIN/ORG_MANAGER et TEAM_ADMIN/TEAM_MANAGER sans héritage automatique
• Retrait d'un membre = clôture de période, jamais DELETE
• Première API d'administration organisation/équipe
• Aucune classe JPA partagée dans tp-common</t>
  </si>
  <si>
    <t>• Créer Dockerfile multi-stage initial et .env.example.
• Créer docker-compose avec PostgreSQL + backend ; réseau et volume nommés.
• Préparer profils local et localstack (sans appel AWS réel).
🔎 Détail technique
Dockerfile multi-stage :
  FROM maven:3.9-eclipse-temurin-21 AS build
  COPY . . &amp;&amp; RUN mvn -pl tp-app -am package -DskipTests
  FROM eclipse-temurin:21-jre-alpine
  RUN adduser -D -u 1000 app &amp;&amp; USER 1000
  COPY --from=build .../target/*.jar app.jar
  ENTRYPOINT ["java","-jar","/app.jar"]
docker-compose.yml :
  postgres:16-alpine
    healthcheck: pg_isready (interval 5s, retries 5)
    volume pgdata, network tp-net
  api: build ., depends_on postgres (service_healthy)
    SPRING_DATASOURCE_URL=jdbc:postgresql://postgres:5432/teampulse
    SPRING_PROFILES_ACTIVE=local, 8080:8080
Flyway V001__init.sql : organizations (racine sans org_id), organization_users, teams, team_memberships et rôles ; données tenant avec org_id NOT NULL
Makefile : up / down / logs / psql / smoke
  smoke = curl -f localhost:8080/actuator/health</t>
  </si>
  <si>
    <t>• docker compose up démarre sans erreur ; health = UP.
• Test d’intégration : un User persiste avec orgId non nul.
• Aucun secret commité.
━━ Scénario métier validé ━━
• Compte plateforme refusé sur un port tenant
• Utilisateur impossible à rattacher à deux organisations
• Retrait : endedAt renseigné et ligne historique conservée
• Tests cross-org et ArchUnit verts</t>
  </si>
  <si>
    <t>README démarrage local + ADR-W001-T04 multi-tenancy + ADR-W001-T05 rôles</t>
  </si>
  <si>
    <t>Un développeur lance le socle et prouve la frontière plateforme/tenant, les rôles contextualisés et le retrait historique d'un membre.</t>
  </si>
  <si>
    <t>• Compléter repositories/services pour Team et TeamMember.
• Ajouter DTOs + validation bean validation ; empêcher une membership sans organisation.
• Ajouter endpoints CRUD Team minimaux.
🔎 Détail technique
Couche persistence complète :
  Repositories Spring Data (UserRepository extends JpaRepository)
  Toujours filtrer par orgId : findByOrgIdAndId(Long orgId, Long id)
  Pagination : Page&lt;UserDto&gt; via Pageable + projection record
@Service avec @Transactional :
  create / update / delete / list, mapping entity↔record
  Optimistic locking : @Version Long version sur les entités de persistence concernées
Migrations Flyway versionnées :
  V001__init.sql, V002__seed_questions.sql (5 questions pulse)
  Convention : 1 migration = 1 changement, jamais éditer une migrée
Validation Jakarta : @Valid sur @RequestBody,
  @ControllerAdvice → ProblemDetail (RFC 7807) pour les 400/404
━━ Scénario métier validé ━━
• Persister les rôles d'organisation et d'équipe
• TeamMembership porte joinedAt, endedAt et statut
• Un retrait clôture la période sans suppression physique
• Une réintégration crée une nouvelle période</t>
  </si>
  <si>
    <t>• Relancer les conteneurs et vérifier que les données persistent.
• Tests : team et membre de deux organisations différentes refusés.
• Endpoint health expose l’état DB.
━━ Scénario métier validé ━━
• Tests cross-org et périodes d'appartenance
• La ligne historique reste présente après retrait</t>
  </si>
  <si>
    <t>CRUD Team minimal, appartenance temporelle et persistance vérifiés après restart.</t>
  </si>
  <si>
    <t>Rendre l'application visible et livrer une première interface d'administration de l'organisation et des équipes.</t>
  </si>
  <si>
    <t>• Configurer logs JSON avec correlation-id.
• Créer squelette Angular : shell, page teams, client API minimal.
• Compléter CRUD User/Team et relation TeamMember.
🔎 Détail technique
Observabilité applicative :
  Micrometer + actuator/prometheus exposé
  Logs JSON structurés (logback + logstash-encoder)
    MDC : correlationId, orgId injectés via filtre
  @Timed sur les services clés, compteurs métier custom :
    Counter users.created.total (tags: org_id)
UI bootstrap Angular 19 :
  ng new teampulse-ui --standalone --routing --style=scss
  signals : users = signal&lt;UserDto[]&gt;([])
  HttpClient + provideHttpClient(withFetch())
  1 page : liste users (appel GET /api/users via proxy)
━━ Scénario métier validé ━━
• UI organisation/équipes/membres/rôles
• Un utilisateur peut avoir un rôle différent selon l'équipe
• Le retrait fait disparaître immédiatement les capacités de l'équipe</t>
  </si>
  <si>
    <t>• Créer une équipe depuis UI et vérifier en DB.
• Une requête UI→API porte un correlation-id visible dans logs.
• Metrics HTTP disponibles.
━━ Scénario métier validé ━━
• Parcours UI : créer équipe, ajouter membre, attribuer rôle, retirer membre
• L'historique reste présent côté API</t>
  </si>
  <si>
    <t>Backend et frontend lancés localement ; le parcours d'administration est démontrable.</t>
  </si>
  <si>
    <t>• Ajouter Spring Security JWT : claim org_id, roles ADMIN/MANAGER/MEMBER.
• Créer TenantContextFilter ; rejeter absence ou mismatch org_id.
• Créer AuthController dev ou intégrer Keycloak plus tard.
🔎 Détail technique
Auth JWT + tenant context (Java 21 ScopedValue) :
  spring-boot-starter-security + jjwt 0.12.x
  JwtService : generateAccess (RS256, 15 min, claims sub/org_id/roles/jti)
    generateRefresh (7j, stocké hashé en DB), parseAndValidate
  record TenantContext(Long orgId, Long userId, Set&lt;Role&gt; roles) {}
  static final ScopedValue&lt;TenantContext&gt; CURRENT = ScopedValue.newInstance();
  static TenantContext current() {
    if (!CURRENT.isBound()) throw new MissingTenantContextException();
    return CURRENT.get(); }
  JwtAuthenticationFilter (OncePerRequestFilter) :
    parse Bearer token → build ctx →
    ScopedValue.where(CURRENT, ctx).run(() -&gt; chain.doFilter(...))
  Endpoints : POST /auth/login, /auth/refresh, /auth/logout
  @RequireRole(MANAGER) + AOP interceptor sur TenantContext.current()
  Tous les repos passent à findByOrgId(current().orgId(), ...)
━━ Scénario métier validé ━━
• Claims org_id et rôles d'organisation dans le JWT
• Permissions d'équipe résolues depuis la source de vérité applicative
• Compte plateforme sans tenant context
• Invalidation des accès après retrait
• Audit des changements de rôle et retraits urgents</t>
  </si>
  <si>
    <t>• Requête sans tenant = 401/403 ; tenant incorrect = 403/404.
• Déploiement puis rollback testés.
• Login et changement rôle journalisés.
━━ Scénario métier validé ━━
• Matrice de tests : chaque permission autorisée et refusée
• Ancien membre reçoit 403/404 après retrait
• Administrateur d'organisation sans rôle équipe ne lit pas les résultats</t>
  </si>
  <si>
    <t>ADR-T02 propagation tenant + matrice permissions + runbook deploy/rollback</t>
  </si>
  <si>
    <t>Version dev déployable ; isolation d'organisation et permissions contextualisées prouvées.</t>
  </si>
  <si>
    <t>• Créer modèle PulseQuestion/PulseResponse/PulseAnswer avec orgId/teamId/userId/semaine.
• Implémenter règle de confidentialité : agrégat visible seulement si k&gt;=4.
• Ajouter tests équipe de 3 personnes = agrégat masqué.
🔎 Détail technique
k-anonymity (privacy-by-design) :
  sealed interface MaskedResult&lt;T&gt; permits Visible, Masked {}
  KAnonymityGuard.guard(int distinctRespondents, int k, T value)
    → si distinct &lt; k : Masked(kRequired, kActual) + audit
  Seuil k=4 par défaut, surchargé par organizations.k_threshold
  GET /api/teams/{id}/dashboard :
    si masqué → 200 { data:null, reason:"k_anonymity_not_met",
                      k_required:4, k_actual:2 }
  Tous les agrégats (mood_avg, workload_avg, risk_rate) passent
    par le guard. Tests property-based (jqwik) pour n∈[1..10].
━━ Scénario métier validé ━━
• Campagne hebdomadaire par équipe
• Réponse unique par membre/équipe/campagne, modifiable avant clôture
• Scores, tendances, taux de participation et commentaires anonymisés
• Seuil k=4 avant publication
• Préparer les propositions d'action liées à un résultat</t>
  </si>
  <si>
    <t>• POST pulse fonctionne une fois par membre/semaine.
• Dashboard summary masque résultat k&lt;4.
• Aucune réponse individuelle accessible au manager.
━━ Scénario métier validé ━━
• Équipe de 3 : aucun agrégat exposé
• Équipe avec quorum : résultat publié aux membres
• Aucun admin ne peut modifier une réponse ou un résultat calculé</t>
  </si>
  <si>
    <t>Threat model v1 + ADR privacy + modèle campagne/résultat</t>
  </si>
  <si>
    <t>Une campagne produit un résultat utile sans exposer l'identité des répondants.</t>
  </si>
  <si>
    <t>Clôturer une première version métier complète et démontrable.</t>
  </si>
  <si>
    <t>• Tagger release v0.1 TeamPulse.
• Corriger bugs de démonstration et simplifier seed data.
━━ Scénario métier validé ━━
• Manager propose une action reliée à un résultat
• Membres votent secrètement ; un bulletin par membre/scrutin
• Action acceptée suivie jusqu'à évaluation
• Snapshot d'éligibilité à l'ouverture
• Retrait après vote : bulletin conservé, accès futur révoqué</t>
  </si>
  <si>
    <t>• Démo : login→team→pulse→summary/export→audit.
• Pipeline vert et docs utilisables.
• Facture/ressources vérifiées.
━━ Scénario métier validé ━━
• Démo admin → campagne → résultats → action → vote → suivi
• Retrait d'un votant sans recalcul du résultat
• Réintégration sans second vote sur l'ancien scrutin</t>
  </si>
  <si>
    <t>Portfolio Phase 1 + release v0.1 + scénario d'acceptation</t>
  </si>
  <si>
    <t>La boucle TeamPulse v0.1 est déployable, démontrable et protégée par ses invariants.</t>
  </si>
  <si>
    <t>• Instrumenter requests, pulse submissions, masked summaries, auth failures.
• Ajouter timers sur dashboard summary/export.
━━ Scénario métier validé ━━
• Instrumenter le parcours manager : lecture résultats, proposition et vote
• Mesurer participation, campagnes masquées, actions acceptées et délais de décision</t>
  </si>
  <si>
    <t>• Dashboard affiche trafic, latence P95, erreurs et métriques métier.
• Pas d’orgId/userId en label haute cardinalité.
━━ Scénario métier validé ━━
• Dashboard relie métriques techniques et comportements métier
• Aucune métrique ne contient user_id ou contenu sensible</t>
  </si>
  <si>
    <t>• Extraire identity/team ou team-service en premier ; définir API contract.
• Conserver pulse/insights dans monolithe temporaire.
• Ajouter Organization/Tenant propagation inter-service.
🔎 Détail technique
Découpage en 5 services tenant-aware + shared :
  services/ : gateway, identity-service (8081/identity_db),
    team-service (8082), pulse-service (8083),
    insights-service (8084), webhook-service (8085)
  shared/ : tp-events (records sealed), tp-tenant (TenantContext
    + filtre HTTP commun), tp-test (fixtures Testcontainers)
  Chaque service : son schéma PG, son Flyway, son chart Helm
  org_id propagé via headers HTTP (X-Org-Id) ET headers Kafka
  Reads inter-services : OpenFeign (pulse → team.getTeam(id))
  Contracts Pact/Spring Cloud Contract en CI
━━ Scénario métier validé ━━
• Cartographier les contextes identity, organization, team, pulse, insights et action-vote
• Définir qui possède memberships, snapshots d'éligibilité, résultats et actions
• Aucun service ne reconstitue un rôle global implicite</t>
  </si>
  <si>
    <t>• UI crée/lit équipes via nouveau service.
• Tenant isolation reste testée.
• Trace traverse gateway/service.
━━ Scénario métier validé ━━
• Premier service extrait sans modifier résultats, historique ou droits
• Tests contractuels cross-tenant</t>
  </si>
  <si>
    <t>C4 Container v2 + context map + ADR-T05 boundaries</t>
  </si>
  <si>
    <t>• Définir EventEnvelope v1 et events TeamCreated/MemberAdded/PulseSubmitted.
• Créer producer pulse/team et consumer analytics minimal.
🔎 Détail technique
Events Kafka — premier topic :
  shared/tp-events : sealed interface DomainEvent
    permits PulseSubmitted, TeamCreated, MemberAddedToTeam,
      PulseRiskFlagged {
      UUID eventId; Long orgId; Instant occurredAt;
      String correlationId; int version; }
  record PulseSubmitted(... Long teamId, Long userId,
    String isoWeek, Map&lt;String,Object&gt; answers) implements DomainEvent {}
  pulse-service : KafkaTemplate, key = orgId (partitioning)
    publie sur pulse.events.v1 (headers org_id, correlation_id,
    event_version, event_id pour idempotence)
  Consumers : insights-service + webhook-service (groupes distincts)
━━ Scénario métier validé ━━
• Publier TeamMemberRemoved, CampaignClosed, ResultsPublished, ActionProposed, VoteClosed et ActionAccepted
• Tous les événements portent org_id, event_id, occurred_at et version de schéma</t>
  </si>
  <si>
    <t>• Submit pulse publie un event consultable.
• Consumer calcule compteur sans appel sync.
• Event porte org_id, event_id, trace_id.
━━ Scénario métier validé ━━
• Chaque événement est traçable sans contenir réponse ou vote individuel
• Consumer rejette un événement sans tenant</t>
  </si>
  <si>
    <t>• Ajouter outbox table au pulse-service/team-service.
• Écrire transaction sauvegarde + outbox, puis publisher.
• Préparer event webhook PulseRiskFlagged.
🔎 Détail technique
Outbox pattern (zéro perte d'event) :
  Table outbox (event_id UNIQUE, org_id, aggregate_type/id,
    event_type, payload jsonb, created_at, published_at, attempts)
    index partiel WHERE published_at IS NULL
  PulseService.submitPulse @Transactional :
    save(response) + outboxRepo.save(event)  ← MÊME transaction
    (PAS de kafkaTemplate.send ici)
  OutboxPublisher @Scheduled(fixedDelay=5000) :
    findUnpublished(limit 100) → send Kafka →
    whenComplete : markPublished | incrementAttempts
  (option Phase 3 : Debezium CDC sur le WAL)
━━ Scénario métier validé ━━
• Outbox pour retrait de membre, clôture de campagne et vote accepté
• La transaction métier et l'événement sont atomiques</t>
  </si>
  <si>
    <t>• DB commit sans broker conserve event en outbox.
• Reprise publie sans perte et consumer idempotent.
• Backlog revient à zéro.
━━ Scénario métier validé ━━
• Panne broker après commit : l'événement est publié au redémarrage
• Aucun résultat ou vote accepté perdu</t>
  </si>
  <si>
    <t>• Formaliser contexts Identity, Teams, Pulse, Insights, Notifications.
• Créer insights-service ou module consommant PulseSubmitted.
• Implémenter sentiment v0 par dictionnaire/regex et k-anonymity avant exposition.
🔎 Détail technique
DDD bounded contexts + Sentiment v0 :
  4 contextes : Identity, Collaboration (teams), Pulse, Insights
  Packages par contexte : api / domain / application / infrastructure
  ArchUnit : interdit domain → infrastructure (testé en CI)
  Sentiment v0 (insights, dictionnaire) :
    sealed SentimentResult permits Neutral, Risky
    SentimentAnalyzerV0.analyze(text, locale) → matche mots-clés
    sentiment-keywords.yaml (fr/en : burnout, démission, harcèlement...)
    si Risky → publie PulseRiskFlagged → webhook fanout
  blockers JAMAIS logués en clair (PII)
━━ Scénario métier validé ━━
• Insights possède les agrégats confidentiels, tendances et alertes
• Action-vote possède propositions, snapshots, bulletins et suivi
• Un retrait ne déclenche jamais le recalcul d'un résultat publié</t>
  </si>
  <si>
    <t>• Equipe &lt; k : pas d’insight révélé.
• Mots de risque tests produisent alerte agrégée.
• Service Insights ne lit pas DB Pulse directement.
━━ Scénario métier validé ━━
• Ownership explicite et tests de confidentialité après retrait
• Mesure de l'effet d'une action sur les campagnes suivantes</t>
  </si>
  <si>
    <t>• Démo filmable ou présentable.
• Architecture Pack à jour.
• Liste résultats/apprentissages complétée.
━━ Scénario métier validé ━━
• Démo distribuée du scénario complet
• Panne d'un service puis reprise sans perte de vote ni d'événement</t>
  </si>
  <si>
    <t>TeamPulse distribué reste stable, observable et cohérent sur la boucle campagne-action-vote.</t>
  </si>
  <si>
    <t>• Profiler dashboard aggregated insights et export.
• Ajouter projection/cache avec seuil k toujours appliqué.
━━ Scénario métier validé ━━
• Optimiser le dashboard manager, les tendances et la proposition d'action
• Préserver seuil de confidentialité et absence de données individuelles dans les caches</t>
  </si>
  <si>
    <t>• P95 amélioré ou décision de non-optimiser justifiée.
• Tests privacy/tenant verts.
• Graphes conservés.
━━ Scénario métier validé ━━
• P95 du parcours manager amélioré et confidentialité inchangée</t>
  </si>
  <si>
    <t>• Créer flux cold storage pour pulse/alerts anonymisés ; format parquet concept/POC.
• Appliquer seuil privacy avant dataset analytique.
• Préparer sentiment analysis v1 isolée si retenue.
🔎 Détail technique
ETL hot/cold (Postgres → S3 → Athena) :
  etl-service (Spring Batch) job nightly @Scheduled cron 0 0 2 * * * :
    SELECT pulse &gt; 6 mois → sérialise Parquet (parquet-avro) →
    upload S3 (org_id={}/year={}/month={}/part-N.parquet) →
    md5 check → DELETE Postgres → AuditEvent PulseResponsesArchived
  (alternative continue : Kafka Connect S3 sink, latence &lt; 5 min)
  insights : GET /dashboard?from=&amp;to=
    range &gt; 6 mois → Athena ; sinon Postgres ; mixte → merge appli
━━ Scénario métier validé ━━
• Archiver campagnes, résultats publiés, actions et événements d'audit
• Exclure réponses et bulletins individuels des datasets analytiques non nécessaires</t>
  </si>
  <si>
    <t>• Requête tendances sur 12 mois fonctionne avec données anonymisées.
• Aucune réponse individuelle révélée.
━━ Scénario métier validé ━━
• Requête historique par organisation sans ré-identification
• Coût et rétention documentés</t>
  </si>
  <si>
    <t>Transformer le scénario TeamPulse complet en preuve professionnelle et choisir la spécialisation.</t>
  </si>
  <si>
    <t>Portfolio final + démonstration scénario métier + choix axes Année 3</t>
  </si>
  <si>
    <t>TeamPulse prouve la progression architecte du besoin métier jusqu'à l'exploitation.</t>
  </si>
  <si>
    <t>TeamPulse — scénario métier de référence</t>
  </si>
  <si>
    <t>Administrer → lancer une campagne → répondre → agréger → publier → proposer → voter → agir → mesurer à nouveau</t>
  </si>
  <si>
    <t>Rôle</t>
  </si>
  <si>
    <t>Périmètre</t>
  </si>
  <si>
    <t>Peut</t>
  </si>
  <si>
    <t>Ne peut pas</t>
  </si>
  <si>
    <t>Administrateur plateforme</t>
  </si>
  <si>
    <t>Plateforme, sans organisation</t>
  </si>
  <si>
    <t>Créer, suspendre ou archiver une organisation ; désigner le premier administrateur ; voir l'état technique</t>
  </si>
  <si>
    <t>Entrer dans un tenant ; lire utilisateurs, campagnes, réponses, résultats ou actions</t>
  </si>
  <si>
    <t>Administrateur d'organisation</t>
  </si>
  <si>
    <t>Une organisation</t>
  </si>
  <si>
    <t>Gérer utilisateurs, équipes, affectations, rôles et paramètres par défaut</t>
  </si>
  <si>
    <t>Lire automatiquement les résultats sensibles d'une équipe</t>
  </si>
  <si>
    <t>Manager d'organisation</t>
  </si>
  <si>
    <t>Voir les tendances consolidées, alertes et suivi global des actions</t>
  </si>
  <si>
    <t>Lire les réponses, commentaires bruts ou votes individuels</t>
  </si>
  <si>
    <t>Administrateur d'équipe</t>
  </si>
  <si>
    <t>Une équipe dont il est membre</t>
  </si>
  <si>
    <t>Gérer les membres ; superviser campagnes, quorum et calendrier des votes</t>
  </si>
  <si>
    <t>Modifier une réponse, un bulletin ou un résultat calculé ; attribuer des rôles</t>
  </si>
  <si>
    <t>Manager d'équipe</t>
  </si>
  <si>
    <t>Voir les résultats publiés ; proposer, piloter et évaluer les actions</t>
  </si>
  <si>
    <t>Identifier les répondants ; modifier la structure de l'équipe sans rôle admin</t>
  </si>
  <si>
    <t>Membre</t>
  </si>
  <si>
    <t>Une ou plusieurs équipes de son organisation</t>
  </si>
  <si>
    <t>Répondre, voir les résultats publiés, suggérer et voter</t>
  </si>
  <si>
    <t>Répondre ou voter deux fois ; accéder à une autre équipe</t>
  </si>
  <si>
    <t>Auditeur d'organisation</t>
  </si>
  <si>
    <t>Consulter les traces administratives et de sécurité</t>
  </si>
  <si>
    <t>Lire les contributions sensibles ou modifier une donnée</t>
  </si>
  <si>
    <t>Étape</t>
  </si>
  <si>
    <t>Acteur</t>
  </si>
  <si>
    <t>Comportement observable</t>
  </si>
  <si>
    <t>Preuve d'architecture</t>
  </si>
  <si>
    <t>1</t>
  </si>
  <si>
    <t>Crée une organisation et son premier administrateur sans recevoir d'accès tenant</t>
  </si>
  <si>
    <t>Frontière plateforme/tenant et test d'autorisation</t>
  </si>
  <si>
    <t>2</t>
  </si>
  <si>
    <t>Crée les équipes, invite les utilisateurs et attribue les rôles contextualisés</t>
  </si>
  <si>
    <t>Ports applicatifs, persistence et matrice de permissions</t>
  </si>
  <si>
    <t>3</t>
  </si>
  <si>
    <t>Système</t>
  </si>
  <si>
    <t>Ouvre une campagne hebdomadaire pour chaque équipe</t>
  </si>
  <si>
    <t>Planification et machine à états</t>
  </si>
  <si>
    <t>4</t>
  </si>
  <si>
    <t>Répond une fois par équipe et campagne ; modifie avant clôture</t>
  </si>
  <si>
    <t>Unicité, concurrence et idempotence</t>
  </si>
  <si>
    <t>5</t>
  </si>
  <si>
    <t>Agrège et masque les résultats sous le seuil de confidentialité</t>
  </si>
  <si>
    <t>Modèle de lecture, anonymisation et tests privacy</t>
  </si>
  <si>
    <t>6</t>
  </si>
  <si>
    <t>Analyse scores, tendances, alertes et commentaires anonymisés</t>
  </si>
  <si>
    <t>Queries, performance et observabilité métier</t>
  </si>
  <si>
    <t>7</t>
  </si>
  <si>
    <t>Manager puis membres</t>
  </si>
  <si>
    <t>Propose une action ; les membres votent secrètement</t>
  </si>
  <si>
    <t>Workflow, snapshot d'éligibilité et audit</t>
  </si>
  <si>
    <t>8</t>
  </si>
  <si>
    <t>Équipe</t>
  </si>
  <si>
    <t>Suit l'action retenue puis mesure son effet à la campagne suivante</t>
  </si>
  <si>
    <t>Historique, événements et cohérence</t>
  </si>
  <si>
    <t>9</t>
  </si>
  <si>
    <t>Administrateur</t>
  </si>
  <si>
    <t>Retire un membre sans supprimer ses contributions historiques</t>
  </si>
  <si>
    <t>Appartenance temporelle et immutabilité</t>
  </si>
  <si>
    <t>Capacité livrée</t>
  </si>
  <si>
    <t>Sujet d'architecture</t>
  </si>
  <si>
    <t>Validation métier</t>
  </si>
  <si>
    <t>Organisations, frontière des comptes, rôles et appartenance temporelle</t>
  </si>
  <si>
    <t>Modules, persistence, multi-tenancy</t>
  </si>
  <si>
    <t>Un compte plateforme reste hors tenant ; un membre retiré conserve sa période</t>
  </si>
  <si>
    <t>Besoins + ADR W001-T04/T05</t>
  </si>
  <si>
    <t>W002-W004</t>
  </si>
  <si>
    <t>Administration des utilisateurs et équipes, première UI</t>
  </si>
  <si>
    <t>API, mapping, persistence, Angular</t>
  </si>
  <si>
    <t>Une organisation constitue une équipe complète</t>
  </si>
  <si>
    <t>Collection HTTP + capture UI</t>
  </si>
  <si>
    <t>W005-W008</t>
  </si>
  <si>
    <t>Authentification et permissions contextualisées</t>
  </si>
  <si>
    <t>JWT, tenant context, audit</t>
  </si>
  <si>
    <t>Chaque permission autorisée/refusée est prouvée</t>
  </si>
  <si>
    <t>Matrice de tests d'autorisation</t>
  </si>
  <si>
    <t>W017-W019</t>
  </si>
  <si>
    <t>Campagnes, réponses et confidentialité</t>
  </si>
  <si>
    <t>Workflow et privacy-by-design</t>
  </si>
  <si>
    <t>Une petite équipe reste masquée</t>
  </si>
  <si>
    <t>Threat model + ADR privacy</t>
  </si>
  <si>
    <t>W020-W026</t>
  </si>
  <si>
    <t>Résultats, actions et votes — release v0.1</t>
  </si>
  <si>
    <t>Agrégation, concurrence, idempotence</t>
  </si>
  <si>
    <t>Le scénario complet est démontrable</t>
  </si>
  <si>
    <t>Release v0.1 + portfolio Phase 1</t>
  </si>
  <si>
    <t>W027-W046</t>
  </si>
  <si>
    <t>Exploitation du parcours complet</t>
  </si>
  <si>
    <t>Kubernetes, métriques, alertes</t>
  </si>
  <si>
    <t>Le parcours reste observable et opérable</t>
  </si>
  <si>
    <t>Ops pack</t>
  </si>
  <si>
    <t>W047-W057</t>
  </si>
  <si>
    <t>Services et événements métier</t>
  </si>
  <si>
    <t>Ownership, Kafka, outbox</t>
  </si>
  <si>
    <t>Retrait, clôture et vote restent cohérents en asynchrone</t>
  </si>
  <si>
    <t>Catalogue d'événements</t>
  </si>
  <si>
    <t>W058-W065</t>
  </si>
  <si>
    <t>Notifications, webhooks et résilience</t>
  </si>
  <si>
    <t>Retry, circuit breaker, livraison garantie</t>
  </si>
  <si>
    <t>Aucun événement métier accepté n'est perdu</t>
  </si>
  <si>
    <t>Runbooks + portfolio Phase 2</t>
  </si>
  <si>
    <t>W066-W122</t>
  </si>
  <si>
    <t>Industrialisation et analytics</t>
  </si>
  <si>
    <t>GitOps, sécurité, performance, archivage</t>
  </si>
  <si>
    <t>Historique exploitable sans exposer les répondants</t>
  </si>
  <si>
    <t>Portfolio final</t>
  </si>
  <si>
    <t>Retrait d'un membre</t>
  </si>
  <si>
    <t>Accès</t>
  </si>
  <si>
    <t>Contributions</t>
  </si>
  <si>
    <t>Résultat attendu</t>
  </si>
  <si>
    <t>Avant ouverture</t>
  </si>
  <si>
    <t>Aucune éligibilité</t>
  </si>
  <si>
    <t>Aucune contribution possible</t>
  </si>
  <si>
    <t>Le membre n'entre pas dans le snapshot</t>
  </si>
  <si>
    <t>Pendant un vote, sans bulletin</t>
  </si>
  <si>
    <t>Accès révoqué ; abstention</t>
  </si>
  <si>
    <t>Aucun bulletin créé</t>
  </si>
  <si>
    <t>Le scrutin reste auditable</t>
  </si>
  <si>
    <t>Pendant un vote, bulletin déjà émis</t>
  </si>
  <si>
    <t>Accès révoqué</t>
  </si>
  <si>
    <t>Bulletin conservé et comptabilisé</t>
  </si>
  <si>
    <t>Un retrait ne réécrit pas le vote</t>
  </si>
  <si>
    <t>Après publication</t>
  </si>
  <si>
    <t>Aucun accès futur</t>
  </si>
  <si>
    <t>Historique immutable</t>
  </si>
  <si>
    <t>Aucun recalcul du résultat</t>
  </si>
  <si>
    <t>Réintégration</t>
  </si>
  <si>
    <t>Nouvelle période</t>
  </si>
  <si>
    <t>Pas de second vote sur l'ancien scrutin</t>
  </si>
  <si>
    <t>Historique temporel cohérent</t>
  </si>
  <si>
    <t>• Configurer PostgreSQL avec healthcheck et volume persistant.
• Passer les paramètres DB par variables d’environnement.
• Configurer Actuator health pour DB.
🔎 Détail technique
Persistence robuste docker-compose :
  postgres : POSTGRES_INITDB_ARGS, shared_buffers tuned
  volume nommé pgdata monté sur /var/lib/postgresql/data
  pas de port exposé en prod-like, seulement réseau interne
HikariCP (application.yml) :
  spring.datasource.hikari.maximum-pool-size: 10
  connection-timeout: 30000, max-lifetime: 1800000
  leak-detection-threshold: 60000
Profil 'local' vs 'localstack' :
  application-local.yml (DB locale)
  application-localstack.yml (endpoints AWS simulés)
make psql : docker compose exec postgres psql -U dev teampulse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</si>
</sst>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* #,##0_)\ &quot;€&quot;_ ;_ * \(#,##0\)\ &quot;€&quot;_ ;_ * &quot;-&quot;_)\ &quot;€&quot;_ ;_ @_ "/>
    <numFmt numFmtId="41" formatCode="_ * #,##0_)_ ;_ * \(#,##0\)_ ;_ * &quot;-&quot;_)_ ;_ @_ "/>
    <numFmt numFmtId="44" formatCode="_ * #,##0.00_)\ &quot;€&quot;_ ;_ * \(#,##0.00\)\ &quot;€&quot;_ ;_ * &quot;-&quot;??_)\ &quot;€&quot;_ ;_ @_ "/>
    <numFmt numFmtId="43" formatCode="_ * #,##0.00_)_ ;_ * \(#,##0.00\)_ ;_ * &quot;-&quot;??_)_ ;_ @_ "/>
  </numFmts>
  <fonts count="36" x14ac:knownFonts="1">
    <font>
      <sz val="10"/>
      <name val="Arial"/>
    </font>
    <font>
      <sz val="10"/>
      <name val="Arial"/>
    </font>
    <font>
      <sz val="12"/>
      <color theme="10"/>
      <name val="Calibri"/>
    </font>
    <font>
      <sz val="11"/>
      <color theme="1"/>
      <name val="Calibri"/>
    </font>
    <font>
      <b/>
      <sz val="18"/>
      <color rgb="FF1F4E79"/>
      <name val="Cambria"/>
    </font>
    <font>
      <b/>
      <sz val="14"/>
      <name val="Cambria"/>
    </font>
    <font>
      <b/>
      <sz val="11"/>
      <color rgb="FFFFFFFF"/>
      <name val="Cambria"/>
    </font>
    <font>
      <b/>
      <sz val="11"/>
      <name val="Cambria"/>
    </font>
    <font>
      <b/>
      <sz val="12"/>
      <name val="Cambria"/>
    </font>
    <font>
      <b/>
      <sz val="16"/>
      <name val="Cambria"/>
    </font>
    <font>
      <b/>
      <sz val="11"/>
      <color rgb="FFC2410C"/>
      <name val="Calibri"/>
    </font>
    <font>
      <sz val="11"/>
      <color rgb="FFC2410C"/>
      <name val="Calibri"/>
    </font>
    <font>
      <b/>
      <sz val="14"/>
      <color rgb="FFC2410C"/>
      <name val="Calibri"/>
    </font>
    <font>
      <i/>
      <sz val="10"/>
      <color rgb="FF4B5563"/>
      <name val="Calibri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name val="Calibri"/>
    </font>
    <font>
      <b/>
      <sz val="10"/>
      <name val="Calibri"/>
    </font>
    <font>
      <b/>
      <sz val="12"/>
      <name val="Calibri"/>
    </font>
    <font>
      <b/>
      <sz val="12"/>
      <color rgb="FFC2410C"/>
      <name val="Calibri"/>
    </font>
    <font>
      <b/>
      <sz val="16"/>
      <color rgb="FFFFFFFF"/>
      <name val="Calibri"/>
    </font>
    <font>
      <sz val="11"/>
      <color rgb="FF1F2937"/>
      <name val="Calibri"/>
    </font>
    <font>
      <sz val="10"/>
      <color rgb="FF1F2937"/>
      <name val="Calibri"/>
    </font>
    <font>
      <b/>
      <sz val="10"/>
      <color rgb="FFFFFFFF"/>
      <name val="Calibri"/>
    </font>
    <font>
      <b/>
      <sz val="10"/>
      <color rgb="FF1F4E79"/>
      <name val="Calibri"/>
    </font>
    <font>
      <sz val="10"/>
      <color rgb="FF111827"/>
      <name val="Calibri"/>
    </font>
    <font>
      <sz val="10"/>
      <color rgb="FFC2410C"/>
      <name val="Calibri"/>
    </font>
    <font>
      <b/>
      <sz val="16"/>
      <color rgb="FFFFFFFF"/>
      <name val="Arial"/>
    </font>
    <font>
      <i/>
      <sz val="11"/>
      <color rgb="FF1F2937"/>
      <name val="Arial"/>
    </font>
    <font>
      <b/>
      <sz val="10"/>
      <color rgb="FFFFFFFF"/>
      <name val="Arial"/>
    </font>
    <font>
      <b/>
      <sz val="10"/>
      <color rgb="FF1F4E79"/>
      <name val="Arial"/>
    </font>
    <font>
      <b/>
      <sz val="11"/>
      <color rgb="FFC2410C"/>
      <name val="Arial"/>
    </font>
    <font>
      <sz val="409.55"/>
      <color rgb="FF111827"/>
      <name val="Calibri"/>
    </font>
    <font>
      <sz val="409.55"/>
      <color rgb="FFC2410C"/>
      <name val="Calibri"/>
    </font>
    <font>
      <sz val="11"/>
      <color rgb="FF111827"/>
      <name val="Calibri"/>
      <family val="2"/>
    </font>
    <font>
      <sz val="10"/>
      <color rgb="FF111827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FFE8CC"/>
      </patternFill>
    </fill>
    <fill>
      <patternFill patternType="solid">
        <fgColor rgb="FFF2F2F2"/>
      </patternFill>
    </fill>
    <fill>
      <patternFill patternType="solid">
        <fgColor rgb="FFC2410C"/>
      </patternFill>
    </fill>
    <fill>
      <patternFill patternType="solid">
        <fgColor rgb="FFECFCCB"/>
      </patternFill>
    </fill>
    <fill>
      <patternFill patternType="solid">
        <fgColor rgb="FFD1FAE5"/>
      </patternFill>
    </fill>
    <fill>
      <patternFill patternType="solid">
        <fgColor rgb="FFFEF3C7"/>
      </patternFill>
    </fill>
    <fill>
      <patternFill patternType="solid">
        <fgColor rgb="FFFECACA"/>
      </patternFill>
    </fill>
    <fill>
      <patternFill patternType="solid">
        <fgColor rgb="FFEAF2F8"/>
      </patternFill>
    </fill>
    <fill>
      <patternFill patternType="solid">
        <fgColor rgb="FFF3F6FA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EAF2F8"/>
      </patternFill>
    </fill>
    <fill>
      <patternFill patternType="solid">
        <fgColor rgb="FFD9EAF7"/>
      </patternFill>
    </fill>
    <fill>
      <patternFill patternType="solid">
        <fgColor rgb="FFFFE8CC"/>
      </patternFill>
    </fill>
  </fills>
  <borders count="1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C2410C"/>
      </left>
      <right style="thin">
        <color rgb="FFC2410C"/>
      </right>
      <top style="thin">
        <color rgb="FFC2410C"/>
      </top>
      <bottom style="thin">
        <color rgb="FFC2410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AAB7C4"/>
      </left>
      <right style="thin">
        <color rgb="FFD9E2F3"/>
      </right>
      <top style="thin">
        <color rgb="FFAAB7C4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AAB7C4"/>
      </top>
      <bottom style="thin">
        <color rgb="FFD9E2F3"/>
      </bottom>
      <diagonal/>
    </border>
    <border>
      <left style="thin">
        <color rgb="FFD9E2F3"/>
      </left>
      <right style="thin">
        <color rgb="FFAAB7C4"/>
      </right>
      <top style="thin">
        <color rgb="FFAAB7C4"/>
      </top>
      <bottom style="thin">
        <color rgb="FFD9E2F3"/>
      </bottom>
      <diagonal/>
    </border>
    <border>
      <left style="thin">
        <color rgb="FFAAB7C4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AAB7C4"/>
      </right>
      <top style="thin">
        <color rgb="FFD9E2F3"/>
      </top>
      <bottom style="thin">
        <color rgb="FFD9E2F3"/>
      </bottom>
      <diagonal/>
    </border>
    <border>
      <left style="thin">
        <color rgb="FFAAB7C4"/>
      </left>
      <right style="thin">
        <color rgb="FFD9E2F3"/>
      </right>
      <top style="thin">
        <color rgb="FFD9E2F3"/>
      </top>
      <bottom style="thin">
        <color rgb="FFAAB7C4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AAB7C4"/>
      </bottom>
      <diagonal/>
    </border>
    <border>
      <left style="thin">
        <color rgb="FFD9E2F3"/>
      </left>
      <right style="thin">
        <color rgb="FFAAB7C4"/>
      </right>
      <top style="thin">
        <color rgb="FFD9E2F3"/>
      </top>
      <bottom style="thin">
        <color rgb="FFAAB7C4"/>
      </bottom>
      <diagonal/>
    </border>
  </borders>
  <cellStyleXfs count="8">
    <xf numFmtId="0" fontId="0" fillId="0" borderId="0"/>
    <xf numFmtId="43" fontId="1" fillId="0" borderId="0" applyBorder="0" applyAlignment="0" applyProtection="0"/>
    <xf numFmtId="41" fontId="1" fillId="0" borderId="0" applyBorder="0" applyAlignment="0" applyProtection="0"/>
    <xf numFmtId="44" fontId="1" fillId="0" borderId="0" applyBorder="0" applyAlignment="0" applyProtection="0"/>
    <xf numFmtId="42" fontId="1" fillId="0" borderId="0" applyBorder="0" applyAlignment="0" applyProtection="0"/>
    <xf numFmtId="9" fontId="1" fillId="0" borderId="0" applyBorder="0" applyAlignment="0" applyProtection="0"/>
    <xf numFmtId="0" fontId="2" fillId="0" borderId="0"/>
    <xf numFmtId="0" fontId="3" fillId="0" borderId="0"/>
  </cellStyleXfs>
  <cellXfs count="80">
    <xf numFmtId="0" fontId="0" fillId="0" borderId="0" xfId="0"/>
    <xf numFmtId="0" fontId="20" fillId="2" borderId="0" xfId="7" applyFont="1" applyFill="1" applyAlignment="1">
      <alignment horizontal="left" vertical="center"/>
    </xf>
    <xf numFmtId="0" fontId="15" fillId="0" borderId="0" xfId="7" applyFont="1" applyAlignment="1">
      <alignment vertical="center" wrapText="1"/>
    </xf>
    <xf numFmtId="0" fontId="19" fillId="0" borderId="0" xfId="7" applyFont="1"/>
    <xf numFmtId="0" fontId="18" fillId="5" borderId="3" xfId="7" applyFont="1" applyFill="1" applyBorder="1" applyAlignment="1">
      <alignment horizontal="right" vertical="center"/>
    </xf>
    <xf numFmtId="0" fontId="13" fillId="0" borderId="0" xfId="7" applyFont="1" applyAlignment="1">
      <alignment vertical="center" wrapText="1"/>
    </xf>
    <xf numFmtId="0" fontId="12" fillId="0" borderId="0" xfId="7" applyFont="1"/>
    <xf numFmtId="0" fontId="13" fillId="0" borderId="0" xfId="0" applyFont="1" applyAlignment="1">
      <alignment vertical="center"/>
    </xf>
    <xf numFmtId="0" fontId="12" fillId="0" borderId="0" xfId="0" applyFont="1"/>
    <xf numFmtId="0" fontId="3" fillId="0" borderId="1" xfId="7" applyBorder="1" applyAlignment="1">
      <alignment vertical="top" wrapText="1"/>
    </xf>
    <xf numFmtId="0" fontId="6" fillId="2" borderId="1" xfId="7" applyFont="1" applyFill="1" applyBorder="1" applyAlignment="1">
      <alignment horizontal="center" vertical="center" wrapText="1"/>
    </xf>
    <xf numFmtId="0" fontId="9" fillId="0" borderId="0" xfId="7" applyFont="1" applyAlignment="1">
      <alignment horizontal="left" vertical="center"/>
    </xf>
    <xf numFmtId="0" fontId="3" fillId="0" borderId="0" xfId="7" applyAlignment="1">
      <alignment vertical="top" wrapText="1"/>
    </xf>
    <xf numFmtId="0" fontId="8" fillId="0" borderId="0" xfId="7" applyFont="1" applyAlignment="1">
      <alignment horizontal="left" vertical="center"/>
    </xf>
    <xf numFmtId="0" fontId="4" fillId="0" borderId="0" xfId="7" applyFont="1"/>
    <xf numFmtId="0" fontId="5" fillId="0" borderId="0" xfId="7" applyFont="1"/>
    <xf numFmtId="0" fontId="6" fillId="2" borderId="0" xfId="7" applyFont="1" applyFill="1"/>
    <xf numFmtId="0" fontId="3" fillId="3" borderId="0" xfId="7" applyFill="1"/>
    <xf numFmtId="0" fontId="3" fillId="4" borderId="0" xfId="7" applyFill="1"/>
    <xf numFmtId="0" fontId="7" fillId="0" borderId="0" xfId="7" applyFont="1"/>
    <xf numFmtId="0" fontId="3" fillId="0" borderId="0" xfId="7" applyAlignment="1">
      <alignment vertical="top" wrapText="1"/>
    </xf>
    <xf numFmtId="0" fontId="6" fillId="2" borderId="0" xfId="7" applyFont="1" applyFill="1" applyAlignment="1">
      <alignment horizontal="center" vertical="center" wrapText="1"/>
    </xf>
    <xf numFmtId="0" fontId="3" fillId="0" borderId="1" xfId="7" applyBorder="1" applyAlignment="1">
      <alignment vertical="top" wrapText="1"/>
    </xf>
    <xf numFmtId="0" fontId="2" fillId="0" borderId="0" xfId="6"/>
    <xf numFmtId="0" fontId="6" fillId="2" borderId="0" xfId="7" applyFont="1" applyFill="1" applyAlignment="1">
      <alignment horizontal="center" wrapText="1"/>
    </xf>
    <xf numFmtId="0" fontId="3" fillId="3" borderId="0" xfId="7" applyFill="1" applyAlignment="1">
      <alignment vertical="top" wrapText="1"/>
    </xf>
    <xf numFmtId="0" fontId="3" fillId="4" borderId="0" xfId="7" applyFill="1" applyAlignment="1">
      <alignment vertical="top" wrapText="1"/>
    </xf>
    <xf numFmtId="0" fontId="10" fillId="5" borderId="2" xfId="7" applyFont="1" applyFill="1" applyBorder="1" applyAlignment="1">
      <alignment horizontal="center" vertical="center" wrapText="1"/>
    </xf>
    <xf numFmtId="0" fontId="11" fillId="5" borderId="2" xfId="7" applyFont="1" applyFill="1" applyBorder="1" applyAlignment="1">
      <alignment horizontal="center" vertical="center" wrapText="1"/>
    </xf>
    <xf numFmtId="0" fontId="11" fillId="5" borderId="2" xfId="7" applyFont="1" applyFill="1" applyBorder="1" applyAlignment="1">
      <alignment horizontal="left" vertical="top" wrapText="1"/>
    </xf>
    <xf numFmtId="14" fontId="3" fillId="0" borderId="0" xfId="7" applyNumberFormat="1"/>
    <xf numFmtId="14" fontId="7" fillId="0" borderId="0" xfId="7" applyNumberFormat="1" applyFont="1"/>
    <xf numFmtId="0" fontId="6" fillId="2" borderId="1" xfId="7" applyFont="1" applyFill="1" applyBorder="1" applyAlignment="1">
      <alignment horizontal="center" vertical="center" wrapText="1"/>
    </xf>
    <xf numFmtId="0" fontId="7" fillId="6" borderId="1" xfId="7" applyFont="1" applyFill="1" applyBorder="1" applyAlignment="1">
      <alignment vertical="top" wrapText="1"/>
    </xf>
    <xf numFmtId="0" fontId="7" fillId="6" borderId="1" xfId="7" applyFont="1" applyFill="1" applyBorder="1" applyAlignment="1">
      <alignment horizontal="center" vertical="center" wrapText="1"/>
    </xf>
    <xf numFmtId="14" fontId="3" fillId="0" borderId="1" xfId="7" applyNumberFormat="1" applyBorder="1" applyAlignment="1">
      <alignment horizontal="center" vertical="center" wrapText="1"/>
    </xf>
    <xf numFmtId="0" fontId="3" fillId="0" borderId="1" xfId="7" applyBorder="1" applyAlignment="1">
      <alignment horizontal="center" vertical="center" wrapText="1"/>
    </xf>
    <xf numFmtId="2" fontId="3" fillId="0" borderId="1" xfId="7" applyNumberFormat="1" applyBorder="1" applyAlignment="1">
      <alignment horizontal="center" vertical="center" wrapText="1"/>
    </xf>
    <xf numFmtId="0" fontId="14" fillId="7" borderId="3" xfId="7" applyFont="1" applyFill="1" applyBorder="1" applyAlignment="1">
      <alignment horizontal="center" vertical="center" wrapText="1"/>
    </xf>
    <xf numFmtId="0" fontId="15" fillId="0" borderId="3" xfId="7" applyFont="1" applyBorder="1" applyAlignment="1">
      <alignment horizontal="center" vertical="center" wrapText="1"/>
    </xf>
    <xf numFmtId="0" fontId="15" fillId="0" borderId="3" xfId="7" applyFont="1" applyBorder="1" applyAlignment="1">
      <alignment horizontal="left" vertical="top" wrapText="1"/>
    </xf>
    <xf numFmtId="0" fontId="16" fillId="0" borderId="3" xfId="7" applyFont="1" applyBorder="1" applyAlignment="1">
      <alignment horizontal="center" vertical="center" wrapText="1"/>
    </xf>
    <xf numFmtId="0" fontId="17" fillId="8" borderId="3" xfId="7" applyFont="1" applyFill="1" applyBorder="1" applyAlignment="1">
      <alignment horizontal="center" vertical="center" wrapText="1"/>
    </xf>
    <xf numFmtId="0" fontId="10" fillId="0" borderId="3" xfId="7" applyFont="1" applyBorder="1" applyAlignment="1">
      <alignment horizontal="center" vertical="center" wrapText="1"/>
    </xf>
    <xf numFmtId="0" fontId="17" fillId="9" borderId="3" xfId="7" applyFont="1" applyFill="1" applyBorder="1" applyAlignment="1">
      <alignment horizontal="center" vertical="center" wrapText="1"/>
    </xf>
    <xf numFmtId="0" fontId="17" fillId="10" borderId="3" xfId="7" applyFont="1" applyFill="1" applyBorder="1" applyAlignment="1">
      <alignment horizontal="center" vertical="center" wrapText="1"/>
    </xf>
    <xf numFmtId="0" fontId="17" fillId="5" borderId="3" xfId="7" applyFont="1" applyFill="1" applyBorder="1" applyAlignment="1">
      <alignment horizontal="center" vertical="center" wrapText="1"/>
    </xf>
    <xf numFmtId="0" fontId="17" fillId="11" borderId="3" xfId="7" applyFont="1" applyFill="1" applyBorder="1" applyAlignment="1">
      <alignment horizontal="center" vertical="center" wrapText="1"/>
    </xf>
    <xf numFmtId="0" fontId="19" fillId="5" borderId="3" xfId="7" applyFont="1" applyFill="1" applyBorder="1" applyAlignment="1">
      <alignment horizontal="center" vertical="center" wrapText="1"/>
    </xf>
    <xf numFmtId="0" fontId="23" fillId="2" borderId="0" xfId="7" applyFont="1" applyFill="1" applyAlignment="1">
      <alignment horizontal="center" vertical="center" wrapText="1"/>
    </xf>
    <xf numFmtId="0" fontId="24" fillId="0" borderId="0" xfId="7" applyFont="1" applyAlignment="1">
      <alignment vertical="top" wrapText="1"/>
    </xf>
    <xf numFmtId="0" fontId="25" fillId="14" borderId="0" xfId="7" applyFont="1" applyFill="1" applyAlignment="1">
      <alignment vertical="top" wrapText="1"/>
    </xf>
    <xf numFmtId="0" fontId="25" fillId="0" borderId="0" xfId="7" applyFont="1" applyAlignment="1">
      <alignment vertical="top" wrapText="1"/>
    </xf>
    <xf numFmtId="0" fontId="25" fillId="0" borderId="0" xfId="7" applyFont="1" applyAlignment="1">
      <alignment horizontal="center" vertical="top" wrapText="1"/>
    </xf>
    <xf numFmtId="0" fontId="25" fillId="15" borderId="0" xfId="7" applyFont="1" applyFill="1" applyAlignment="1">
      <alignment vertical="top" wrapText="1"/>
    </xf>
    <xf numFmtId="0" fontId="25" fillId="16" borderId="0" xfId="7" applyFont="1" applyFill="1" applyAlignment="1">
      <alignment vertical="top" wrapText="1"/>
    </xf>
    <xf numFmtId="0" fontId="29" fillId="17" borderId="4" xfId="0" applyFont="1" applyFill="1" applyBorder="1" applyAlignment="1">
      <alignment horizontal="center" vertical="center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10" xfId="0" applyBorder="1" applyAlignment="1">
      <alignment vertical="top" wrapText="1"/>
    </xf>
    <xf numFmtId="0" fontId="0" fillId="0" borderId="12" xfId="0" applyBorder="1" applyAlignment="1">
      <alignment vertical="top" wrapText="1"/>
    </xf>
    <xf numFmtId="0" fontId="0" fillId="0" borderId="13" xfId="0" applyBorder="1" applyAlignment="1">
      <alignment vertical="top" wrapText="1"/>
    </xf>
    <xf numFmtId="0" fontId="30" fillId="19" borderId="5" xfId="0" applyFont="1" applyFill="1" applyBorder="1" applyAlignment="1">
      <alignment vertical="top" wrapText="1"/>
    </xf>
    <xf numFmtId="0" fontId="30" fillId="19" borderId="8" xfId="0" applyFont="1" applyFill="1" applyBorder="1" applyAlignment="1">
      <alignment vertical="top" wrapText="1"/>
    </xf>
    <xf numFmtId="0" fontId="30" fillId="19" borderId="11" xfId="0" applyFont="1" applyFill="1" applyBorder="1" applyAlignment="1">
      <alignment vertical="top" wrapText="1"/>
    </xf>
    <xf numFmtId="0" fontId="15" fillId="0" borderId="3" xfId="0" applyFont="1" applyBorder="1" applyAlignment="1">
      <alignment horizontal="left" vertical="top" wrapText="1"/>
    </xf>
    <xf numFmtId="0" fontId="15" fillId="0" borderId="3" xfId="0" applyFont="1" applyBorder="1" applyAlignment="1">
      <alignment horizontal="center" vertical="top" wrapText="1"/>
    </xf>
    <xf numFmtId="0" fontId="0" fillId="0" borderId="3" xfId="0" applyBorder="1" applyAlignment="1">
      <alignment vertical="top" wrapText="1"/>
    </xf>
    <xf numFmtId="0" fontId="10" fillId="20" borderId="3" xfId="0" applyFont="1" applyFill="1" applyBorder="1" applyAlignment="1">
      <alignment horizontal="left" vertical="top" wrapText="1"/>
    </xf>
    <xf numFmtId="0" fontId="31" fillId="20" borderId="3" xfId="0" applyFont="1" applyFill="1" applyBorder="1" applyAlignment="1">
      <alignment vertical="top" wrapText="1"/>
    </xf>
    <xf numFmtId="0" fontId="0" fillId="0" borderId="3" xfId="0" applyBorder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9" fillId="0" borderId="0" xfId="0" applyFont="1"/>
    <xf numFmtId="0" fontId="21" fillId="12" borderId="0" xfId="7" applyFont="1" applyFill="1" applyAlignment="1">
      <alignment horizontal="left" vertical="center" wrapText="1"/>
    </xf>
    <xf numFmtId="0" fontId="22" fillId="13" borderId="0" xfId="7" applyFont="1" applyFill="1" applyAlignment="1">
      <alignment horizontal="left" vertical="center" wrapText="1"/>
    </xf>
    <xf numFmtId="0" fontId="27" fillId="17" borderId="0" xfId="0" applyFont="1" applyFill="1" applyAlignment="1">
      <alignment wrapText="1"/>
    </xf>
    <xf numFmtId="0" fontId="28" fillId="18" borderId="0" xfId="0" applyFont="1" applyFill="1" applyAlignment="1">
      <alignment wrapText="1"/>
    </xf>
    <xf numFmtId="0" fontId="34" fillId="0" borderId="0" xfId="7" applyFont="1" applyAlignment="1">
      <alignment vertical="top" wrapText="1"/>
    </xf>
    <xf numFmtId="0" fontId="35" fillId="0" borderId="0" xfId="7" applyFont="1" applyAlignment="1">
      <alignment vertical="top" wrapText="1"/>
    </xf>
  </cellXfs>
  <cellStyles count="8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Hyperlink 1" xfId="6" xr:uid="{00000000-0005-0000-0000-000006000000}"/>
    <cellStyle name="Normal" xfId="0" builtinId="0"/>
    <cellStyle name="Normal 2" xfId="7" xr:uid="{00000000-0005-0000-0000-000007000000}"/>
    <cellStyle name="Percent" xfId="5" xr:uid="{00000000-0005-0000-0000-000005000000}"/>
  </cellStyles>
  <dxfs count="3">
    <dxf>
      <font>
        <b/>
        <color rgb="FF990000"/>
      </font>
      <fill>
        <patternFill>
          <bgColor rgb="FFF4CCCC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1B5E20"/>
      </font>
      <fill>
        <patternFill>
          <b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ECFCCB"/>
      <rgbColor rgb="FFFF00FF"/>
      <rgbColor rgb="FF00FFFF"/>
      <rgbColor rgb="FF990000"/>
      <rgbColor rgb="FF1B5E20"/>
      <rgbColor rgb="FF000080"/>
      <rgbColor rgb="FF7F6000"/>
      <rgbColor rgb="FF800080"/>
      <rgbColor rgb="FF008080"/>
      <rgbColor rgb="FFF4CCCC"/>
      <rgbColor rgb="FF808080"/>
      <rgbColor rgb="FFEAF2F8"/>
      <rgbColor rgb="FF993366"/>
      <rgbColor rgb="FFFEF3C7"/>
      <rgbColor rgb="FFD9EAF7"/>
      <rgbColor rgb="FF660066"/>
      <rgbColor rgb="FFFF8080"/>
      <rgbColor rgb="FF0066CC"/>
      <rgbColor rgb="FFD9D9D9"/>
      <rgbColor rgb="FF000080"/>
      <rgbColor rgb="FFFF00FF"/>
      <rgbColor rgb="FFE2F0D9"/>
      <rgbColor rgb="FF00FFFF"/>
      <rgbColor rgb="FF800080"/>
      <rgbColor rgb="FF800000"/>
      <rgbColor rgb="FF008080"/>
      <rgbColor rgb="FF0000FF"/>
      <rgbColor rgb="FF00CCFF"/>
      <rgbColor rgb="FFDDEBF7"/>
      <rgbColor rgb="FFD1FAE5"/>
      <rgbColor rgb="FFFFF2CC"/>
      <rgbColor rgb="FFD9EAD3"/>
      <rgbColor rgb="FFFFE8CC"/>
      <rgbColor rgb="FFE2EFDA"/>
      <rgbColor rgb="FFFECACA"/>
      <rgbColor rgb="FF3366FF"/>
      <rgbColor rgb="FF33CCCC"/>
      <rgbColor rgb="FF99CC00"/>
      <rgbColor rgb="FFF2F2F2"/>
      <rgbColor rgb="FFFF9900"/>
      <rgbColor rgb="FFFF6600"/>
      <rgbColor rgb="FF4B5563"/>
      <rgbColor rgb="FFF3F6FA"/>
      <rgbColor rgb="FF003366"/>
      <rgbColor rgb="FF339966"/>
      <rgbColor rgb="FF111827"/>
      <rgbColor rgb="FF333300"/>
      <rgbColor rgb="FFC2410C"/>
      <rgbColor rgb="FF993366"/>
      <rgbColor rgb="FF1F4E7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amPulseExecutionTable" displayName="TeamPulseExecutionTable" ref="A9:L131" totalsRowShown="0">
  <tableColumns count="12">
    <tableColumn id="1" xr3:uid="{00000000-0010-0000-0000-000001000000}" name="Semaine"/>
    <tableColumn id="2" xr3:uid="{00000000-0010-0000-0000-000002000000}" name="Phase"/>
    <tableColumn id="3" xr3:uid="{00000000-0010-0000-0000-000003000000}" name="Compétence appliquée"/>
    <tableColumn id="4" xr3:uid="{00000000-0010-0000-0000-000004000000}" name="Objectif TeamPulse"/>
    <tableColumn id="5" xr3:uid="{00000000-0010-0000-0000-000005000000}" name="Code à produire"/>
    <tableColumn id="6" xr3:uid="{00000000-0010-0000-0000-000006000000}" name="Infra / DevOps / Cloud"/>
    <tableColumn id="7" xr3:uid="{00000000-0010-0000-0000-000007000000}" name="Validation concrète"/>
    <tableColumn id="8" xr3:uid="{00000000-0010-0000-0000-000008000000}" name="Artefact à conserver"/>
    <tableColumn id="9" xr3:uid="{00000000-0010-0000-0000-000009000000}" name="Definition of Done"/>
    <tableColumn id="10" xr3:uid="{00000000-0010-0000-0000-00000A000000}" name="Mode / coût"/>
    <tableColumn id="11" xr3:uid="{00000000-0010-0000-0000-00000B000000}" name="Statut"/>
    <tableColumn id="12" xr3:uid="{00000000-0010-0000-0000-00000C000000}" name="Not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sqref="A1:H1"/>
    </sheetView>
  </sheetViews>
  <sheetFormatPr baseColWidth="10" defaultColWidth="8.6640625" defaultRowHeight="13" x14ac:dyDescent="0.15"/>
  <cols>
    <col min="1" max="4" width="25" customWidth="1"/>
  </cols>
  <sheetData>
    <row r="1" spans="1:8" ht="23" x14ac:dyDescent="0.25">
      <c r="A1" s="14" t="s">
        <v>0</v>
      </c>
      <c r="B1" s="14"/>
      <c r="C1" s="14"/>
      <c r="D1" s="14"/>
      <c r="E1" s="14"/>
      <c r="F1" s="14"/>
      <c r="G1" s="14"/>
      <c r="H1" s="14"/>
    </row>
    <row r="3" spans="1:8" ht="18" x14ac:dyDescent="0.2">
      <c r="A3" s="15" t="s">
        <v>1</v>
      </c>
    </row>
    <row r="4" spans="1:8" ht="14" x14ac:dyDescent="0.15">
      <c r="A4" s="16" t="s">
        <v>2</v>
      </c>
      <c r="B4" s="16" t="s">
        <v>3</v>
      </c>
      <c r="C4" s="16" t="s">
        <v>4</v>
      </c>
      <c r="D4" s="16" t="s">
        <v>5</v>
      </c>
    </row>
    <row r="5" spans="1:8" ht="15" x14ac:dyDescent="0.2">
      <c r="A5" s="17" t="s">
        <v>6</v>
      </c>
      <c r="B5" s="17" t="s">
        <v>7</v>
      </c>
      <c r="C5" s="17" t="s">
        <v>8</v>
      </c>
      <c r="D5" s="17" t="s">
        <v>9</v>
      </c>
    </row>
    <row r="6" spans="1:8" ht="15" x14ac:dyDescent="0.2">
      <c r="A6" s="17" t="s">
        <v>10</v>
      </c>
      <c r="B6" s="17" t="s">
        <v>7</v>
      </c>
      <c r="C6" s="17" t="s">
        <v>8</v>
      </c>
      <c r="D6" s="17" t="s">
        <v>9</v>
      </c>
    </row>
    <row r="7" spans="1:8" ht="15" x14ac:dyDescent="0.2">
      <c r="A7" s="18" t="s">
        <v>11</v>
      </c>
      <c r="B7" s="18" t="s">
        <v>12</v>
      </c>
      <c r="C7" s="18" t="s">
        <v>13</v>
      </c>
      <c r="D7" s="18" t="s">
        <v>14</v>
      </c>
    </row>
    <row r="8" spans="1:8" ht="15" x14ac:dyDescent="0.2">
      <c r="A8" s="18" t="s">
        <v>15</v>
      </c>
      <c r="B8" s="18" t="s">
        <v>12</v>
      </c>
      <c r="C8" s="18" t="s">
        <v>16</v>
      </c>
      <c r="D8" s="18" t="s">
        <v>14</v>
      </c>
    </row>
    <row r="9" spans="1:8" x14ac:dyDescent="0.15">
      <c r="B9" t="s">
        <v>17</v>
      </c>
      <c r="C9" t="s">
        <v>18</v>
      </c>
    </row>
    <row r="12" spans="1:8" ht="18" x14ac:dyDescent="0.2">
      <c r="A12" s="15" t="s">
        <v>19</v>
      </c>
    </row>
    <row r="13" spans="1:8" ht="14" x14ac:dyDescent="0.15">
      <c r="A13" s="19" t="s">
        <v>20</v>
      </c>
      <c r="B13" t="s">
        <v>21</v>
      </c>
    </row>
    <row r="14" spans="1:8" ht="14" x14ac:dyDescent="0.15">
      <c r="A14" s="19" t="s">
        <v>22</v>
      </c>
      <c r="B14" t="s">
        <v>23</v>
      </c>
    </row>
    <row r="15" spans="1:8" ht="14" x14ac:dyDescent="0.15">
      <c r="A15" s="19" t="s">
        <v>24</v>
      </c>
      <c r="B15" t="s">
        <v>25</v>
      </c>
    </row>
    <row r="16" spans="1:8" ht="14" x14ac:dyDescent="0.15">
      <c r="A16" s="19" t="s">
        <v>26</v>
      </c>
      <c r="B16" t="s">
        <v>27</v>
      </c>
    </row>
    <row r="17" spans="1:8" ht="14" x14ac:dyDescent="0.15">
      <c r="A17" s="19" t="s">
        <v>28</v>
      </c>
      <c r="B17" t="s">
        <v>29</v>
      </c>
    </row>
    <row r="18" spans="1:8" ht="14" x14ac:dyDescent="0.15">
      <c r="A18" s="19" t="s">
        <v>30</v>
      </c>
      <c r="B18" t="s">
        <v>31</v>
      </c>
    </row>
    <row r="19" spans="1:8" ht="14" x14ac:dyDescent="0.15">
      <c r="A19" s="19" t="s">
        <v>32</v>
      </c>
      <c r="B19" t="s">
        <v>33</v>
      </c>
    </row>
    <row r="21" spans="1:8" ht="16" x14ac:dyDescent="0.15">
      <c r="A21" s="13" t="s">
        <v>34</v>
      </c>
      <c r="B21" s="13"/>
      <c r="C21" s="13"/>
      <c r="D21" s="13"/>
      <c r="E21" s="13"/>
      <c r="F21" s="13"/>
      <c r="G21" s="13"/>
      <c r="H21" s="13"/>
    </row>
    <row r="22" spans="1:8" ht="15" customHeight="1" x14ac:dyDescent="0.15">
      <c r="A22" s="12" t="s">
        <v>35</v>
      </c>
      <c r="B22" s="12"/>
      <c r="C22" s="12"/>
      <c r="D22" s="12"/>
      <c r="E22" s="12"/>
      <c r="F22" s="12"/>
      <c r="G22" s="12"/>
      <c r="H22" s="12"/>
    </row>
    <row r="23" spans="1:8" x14ac:dyDescent="0.15">
      <c r="A23" s="12"/>
      <c r="B23" s="12"/>
      <c r="C23" s="12"/>
      <c r="D23" s="12"/>
      <c r="E23" s="12"/>
      <c r="F23" s="12"/>
      <c r="G23" s="12"/>
      <c r="H23" s="12"/>
    </row>
  </sheetData>
  <mergeCells count="3">
    <mergeCell ref="A1:H1"/>
    <mergeCell ref="A21:H21"/>
    <mergeCell ref="A22:H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6"/>
  <sheetViews>
    <sheetView workbookViewId="0"/>
  </sheetViews>
  <sheetFormatPr baseColWidth="10" defaultColWidth="8.6640625" defaultRowHeight="13" x14ac:dyDescent="0.15"/>
  <cols>
    <col min="1" max="1" width="24" customWidth="1"/>
    <col min="2" max="3" width="70" customWidth="1"/>
    <col min="4" max="4" width="34" customWidth="1"/>
  </cols>
  <sheetData>
    <row r="1" spans="1:4" ht="27.75" customHeight="1" x14ac:dyDescent="0.15">
      <c r="A1" s="11" t="s">
        <v>36</v>
      </c>
      <c r="B1" s="11"/>
      <c r="C1" s="11"/>
      <c r="D1" s="11"/>
    </row>
    <row r="3" spans="1:4" ht="75" customHeight="1" x14ac:dyDescent="0.15">
      <c r="A3" s="19" t="s">
        <v>37</v>
      </c>
      <c r="B3" s="12" t="s">
        <v>38</v>
      </c>
      <c r="C3" s="12"/>
      <c r="D3" s="12"/>
    </row>
    <row r="4" spans="1:4" x14ac:dyDescent="0.15">
      <c r="B4" s="12"/>
      <c r="C4" s="12"/>
      <c r="D4" s="12"/>
    </row>
    <row r="5" spans="1:4" x14ac:dyDescent="0.15">
      <c r="B5" s="12"/>
      <c r="C5" s="12"/>
      <c r="D5" s="12"/>
    </row>
    <row r="7" spans="1:4" ht="24" customHeight="1" x14ac:dyDescent="0.15">
      <c r="A7" s="21" t="s">
        <v>39</v>
      </c>
      <c r="B7" s="21" t="s">
        <v>40</v>
      </c>
      <c r="C7" s="21" t="s">
        <v>41</v>
      </c>
      <c r="D7" s="21" t="s">
        <v>42</v>
      </c>
    </row>
    <row r="8" spans="1:4" ht="90" customHeight="1" x14ac:dyDescent="0.2">
      <c r="A8" s="22" t="s">
        <v>43</v>
      </c>
      <c r="B8" s="22" t="s">
        <v>44</v>
      </c>
      <c r="C8" s="22" t="s">
        <v>45</v>
      </c>
      <c r="D8" s="23" t="s">
        <v>46</v>
      </c>
    </row>
    <row r="9" spans="1:4" ht="90" customHeight="1" x14ac:dyDescent="0.2">
      <c r="A9" s="22" t="s">
        <v>47</v>
      </c>
      <c r="B9" s="22" t="s">
        <v>48</v>
      </c>
      <c r="C9" s="22" t="s">
        <v>49</v>
      </c>
      <c r="D9" s="23" t="s">
        <v>50</v>
      </c>
    </row>
    <row r="10" spans="1:4" ht="90" customHeight="1" x14ac:dyDescent="0.2">
      <c r="A10" s="22" t="s">
        <v>51</v>
      </c>
      <c r="B10" s="22" t="s">
        <v>52</v>
      </c>
      <c r="C10" s="22" t="s">
        <v>53</v>
      </c>
      <c r="D10" s="23" t="s">
        <v>54</v>
      </c>
    </row>
    <row r="11" spans="1:4" ht="90" customHeight="1" x14ac:dyDescent="0.2">
      <c r="A11" s="22" t="s">
        <v>55</v>
      </c>
      <c r="B11" s="22" t="s">
        <v>56</v>
      </c>
      <c r="C11" s="22" t="s">
        <v>57</v>
      </c>
      <c r="D11" s="23" t="s">
        <v>58</v>
      </c>
    </row>
    <row r="13" spans="1:4" ht="79.5" customHeight="1" x14ac:dyDescent="0.15">
      <c r="A13" s="19" t="s">
        <v>59</v>
      </c>
      <c r="B13" s="12" t="s">
        <v>60</v>
      </c>
      <c r="C13" s="12"/>
      <c r="D13" s="12"/>
    </row>
    <row r="14" spans="1:4" x14ac:dyDescent="0.15">
      <c r="B14" s="12"/>
      <c r="C14" s="12"/>
      <c r="D14" s="12"/>
    </row>
    <row r="15" spans="1:4" x14ac:dyDescent="0.15">
      <c r="B15" s="12"/>
      <c r="C15" s="12"/>
      <c r="D15" s="12"/>
    </row>
    <row r="16" spans="1:4" x14ac:dyDescent="0.15">
      <c r="B16" s="12"/>
      <c r="C16" s="12"/>
      <c r="D16" s="12"/>
    </row>
  </sheetData>
  <mergeCells count="3">
    <mergeCell ref="A1:D1"/>
    <mergeCell ref="B3:D5"/>
    <mergeCell ref="B13:D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3"/>
  <sheetViews>
    <sheetView workbookViewId="0"/>
  </sheetViews>
  <sheetFormatPr baseColWidth="10" defaultColWidth="8.6640625" defaultRowHeight="13" x14ac:dyDescent="0.15"/>
  <cols>
    <col min="1" max="1" width="8" customWidth="1"/>
    <col min="2" max="2" width="5" customWidth="1"/>
    <col min="3" max="3" width="10" customWidth="1"/>
    <col min="4" max="4" width="45" customWidth="1"/>
    <col min="5" max="5" width="8" customWidth="1"/>
    <col min="6" max="6" width="50" customWidth="1"/>
    <col min="7" max="7" width="55" customWidth="1"/>
    <col min="8" max="8" width="8" customWidth="1"/>
    <col min="9" max="9" width="25" customWidth="1"/>
    <col min="10" max="10" width="8" customWidth="1"/>
    <col min="11" max="11" width="15" customWidth="1"/>
  </cols>
  <sheetData>
    <row r="1" spans="1:11" ht="30" x14ac:dyDescent="0.15">
      <c r="A1" s="24" t="s">
        <v>61</v>
      </c>
      <c r="B1" s="24" t="s">
        <v>62</v>
      </c>
      <c r="C1" s="24" t="s">
        <v>63</v>
      </c>
      <c r="D1" s="24" t="s">
        <v>64</v>
      </c>
      <c r="E1" s="24" t="s">
        <v>65</v>
      </c>
      <c r="F1" s="24" t="s">
        <v>66</v>
      </c>
      <c r="G1" s="24" t="s">
        <v>67</v>
      </c>
      <c r="H1" s="24" t="s">
        <v>68</v>
      </c>
      <c r="I1" s="24" t="s">
        <v>69</v>
      </c>
      <c r="J1" s="24" t="s">
        <v>70</v>
      </c>
      <c r="K1" s="24" t="s">
        <v>71</v>
      </c>
    </row>
    <row r="2" spans="1:11" ht="79.5" customHeight="1" x14ac:dyDescent="0.15">
      <c r="A2" s="20" t="s">
        <v>72</v>
      </c>
      <c r="B2" s="20" t="s">
        <v>73</v>
      </c>
      <c r="C2" s="20" t="s">
        <v>74</v>
      </c>
      <c r="D2" s="25" t="s">
        <v>75</v>
      </c>
      <c r="E2" s="25" t="s">
        <v>16</v>
      </c>
      <c r="F2" s="25" t="s">
        <v>76</v>
      </c>
      <c r="G2" s="26" t="s">
        <v>77</v>
      </c>
      <c r="H2" s="26" t="s">
        <v>78</v>
      </c>
      <c r="I2" s="20" t="s">
        <v>79</v>
      </c>
      <c r="J2" s="20" t="s">
        <v>80</v>
      </c>
      <c r="K2" s="20"/>
    </row>
    <row r="3" spans="1:11" ht="79.5" customHeight="1" x14ac:dyDescent="0.15">
      <c r="A3" s="20" t="s">
        <v>81</v>
      </c>
      <c r="B3" s="20" t="s">
        <v>73</v>
      </c>
      <c r="C3" s="20" t="s">
        <v>74</v>
      </c>
      <c r="D3" s="25" t="s">
        <v>82</v>
      </c>
      <c r="E3" s="25" t="s">
        <v>16</v>
      </c>
      <c r="F3" s="25" t="s">
        <v>83</v>
      </c>
      <c r="G3" s="26" t="s">
        <v>84</v>
      </c>
      <c r="H3" s="26" t="s">
        <v>78</v>
      </c>
      <c r="I3" s="20" t="s">
        <v>85</v>
      </c>
      <c r="J3" s="20" t="s">
        <v>80</v>
      </c>
      <c r="K3" s="20"/>
    </row>
    <row r="4" spans="1:11" ht="79.5" customHeight="1" x14ac:dyDescent="0.15">
      <c r="A4" s="20" t="s">
        <v>86</v>
      </c>
      <c r="B4" s="20" t="s">
        <v>73</v>
      </c>
      <c r="C4" s="20" t="s">
        <v>74</v>
      </c>
      <c r="D4" s="25" t="s">
        <v>87</v>
      </c>
      <c r="E4" s="25" t="s">
        <v>16</v>
      </c>
      <c r="F4" s="25" t="s">
        <v>88</v>
      </c>
      <c r="G4" s="26" t="s">
        <v>89</v>
      </c>
      <c r="H4" s="26" t="s">
        <v>78</v>
      </c>
      <c r="I4" s="20" t="s">
        <v>90</v>
      </c>
      <c r="J4" s="20" t="s">
        <v>80</v>
      </c>
      <c r="K4" s="20"/>
    </row>
    <row r="5" spans="1:11" ht="79.5" customHeight="1" x14ac:dyDescent="0.15">
      <c r="A5" s="20" t="s">
        <v>91</v>
      </c>
      <c r="B5" s="20" t="s">
        <v>73</v>
      </c>
      <c r="C5" s="20" t="s">
        <v>74</v>
      </c>
      <c r="D5" s="25" t="s">
        <v>92</v>
      </c>
      <c r="E5" s="25" t="s">
        <v>16</v>
      </c>
      <c r="F5" s="25" t="s">
        <v>83</v>
      </c>
      <c r="G5" s="26" t="s">
        <v>93</v>
      </c>
      <c r="H5" s="26" t="s">
        <v>78</v>
      </c>
      <c r="I5" s="20" t="s">
        <v>94</v>
      </c>
      <c r="J5" s="20" t="s">
        <v>80</v>
      </c>
      <c r="K5" s="20"/>
    </row>
    <row r="6" spans="1:11" ht="79.5" customHeight="1" x14ac:dyDescent="0.15">
      <c r="A6" s="20" t="s">
        <v>95</v>
      </c>
      <c r="B6" s="20" t="s">
        <v>73</v>
      </c>
      <c r="C6" s="20" t="s">
        <v>74</v>
      </c>
      <c r="D6" s="25" t="s">
        <v>96</v>
      </c>
      <c r="E6" s="25" t="s">
        <v>16</v>
      </c>
      <c r="F6" s="25" t="s">
        <v>83</v>
      </c>
      <c r="G6" s="26" t="s">
        <v>97</v>
      </c>
      <c r="H6" s="26" t="s">
        <v>78</v>
      </c>
      <c r="I6" s="20" t="s">
        <v>98</v>
      </c>
      <c r="J6" s="20" t="s">
        <v>80</v>
      </c>
      <c r="K6" s="20"/>
    </row>
    <row r="7" spans="1:11" ht="79.5" customHeight="1" x14ac:dyDescent="0.15">
      <c r="A7" s="20" t="s">
        <v>99</v>
      </c>
      <c r="B7" s="20" t="s">
        <v>100</v>
      </c>
      <c r="C7" s="20" t="s">
        <v>74</v>
      </c>
      <c r="D7" s="25" t="s">
        <v>101</v>
      </c>
      <c r="E7" s="25" t="s">
        <v>16</v>
      </c>
      <c r="F7" s="25" t="s">
        <v>102</v>
      </c>
      <c r="G7" s="26" t="s">
        <v>103</v>
      </c>
      <c r="H7" s="26" t="s">
        <v>78</v>
      </c>
      <c r="I7" s="20" t="s">
        <v>104</v>
      </c>
      <c r="J7" s="20" t="s">
        <v>80</v>
      </c>
      <c r="K7" s="20"/>
    </row>
    <row r="8" spans="1:11" ht="79.5" customHeight="1" x14ac:dyDescent="0.15">
      <c r="A8" s="20" t="s">
        <v>105</v>
      </c>
      <c r="B8" s="20" t="s">
        <v>100</v>
      </c>
      <c r="C8" s="20" t="s">
        <v>74</v>
      </c>
      <c r="D8" s="25" t="s">
        <v>106</v>
      </c>
      <c r="E8" s="25" t="s">
        <v>16</v>
      </c>
      <c r="F8" s="25" t="s">
        <v>107</v>
      </c>
      <c r="G8" s="26" t="s">
        <v>108</v>
      </c>
      <c r="H8" s="26" t="s">
        <v>78</v>
      </c>
      <c r="I8" s="20" t="s">
        <v>109</v>
      </c>
      <c r="J8" s="20" t="s">
        <v>80</v>
      </c>
      <c r="K8" s="20"/>
    </row>
    <row r="9" spans="1:11" ht="79.5" customHeight="1" x14ac:dyDescent="0.15">
      <c r="A9" s="20" t="s">
        <v>110</v>
      </c>
      <c r="B9" s="20" t="s">
        <v>100</v>
      </c>
      <c r="C9" s="20" t="s">
        <v>74</v>
      </c>
      <c r="D9" s="25" t="s">
        <v>111</v>
      </c>
      <c r="E9" s="25" t="s">
        <v>16</v>
      </c>
      <c r="F9" s="25" t="s">
        <v>112</v>
      </c>
      <c r="G9" s="26" t="s">
        <v>113</v>
      </c>
      <c r="H9" s="26" t="s">
        <v>78</v>
      </c>
      <c r="I9" s="20" t="s">
        <v>114</v>
      </c>
      <c r="J9" s="20" t="s">
        <v>80</v>
      </c>
      <c r="K9" s="20"/>
    </row>
    <row r="10" spans="1:11" ht="79.5" customHeight="1" x14ac:dyDescent="0.15">
      <c r="A10" s="20" t="s">
        <v>115</v>
      </c>
      <c r="B10" s="20" t="s">
        <v>100</v>
      </c>
      <c r="C10" s="20" t="s">
        <v>74</v>
      </c>
      <c r="D10" s="25" t="s">
        <v>116</v>
      </c>
      <c r="E10" s="25" t="s">
        <v>16</v>
      </c>
      <c r="F10" s="25" t="s">
        <v>76</v>
      </c>
      <c r="G10" s="26" t="s">
        <v>117</v>
      </c>
      <c r="H10" s="26" t="s">
        <v>78</v>
      </c>
      <c r="I10" s="20" t="s">
        <v>118</v>
      </c>
      <c r="J10" s="20" t="s">
        <v>80</v>
      </c>
      <c r="K10" s="20"/>
    </row>
    <row r="11" spans="1:11" ht="79.5" customHeight="1" x14ac:dyDescent="0.15">
      <c r="A11" s="20" t="s">
        <v>119</v>
      </c>
      <c r="B11" s="20" t="s">
        <v>120</v>
      </c>
      <c r="C11" s="20" t="s">
        <v>74</v>
      </c>
      <c r="D11" s="25" t="s">
        <v>121</v>
      </c>
      <c r="E11" s="25" t="s">
        <v>16</v>
      </c>
      <c r="F11" s="25" t="s">
        <v>122</v>
      </c>
      <c r="G11" s="26" t="s">
        <v>123</v>
      </c>
      <c r="H11" s="26" t="s">
        <v>78</v>
      </c>
      <c r="I11" s="20" t="s">
        <v>124</v>
      </c>
      <c r="J11" s="20" t="s">
        <v>80</v>
      </c>
      <c r="K11" s="20"/>
    </row>
    <row r="12" spans="1:11" ht="79.5" customHeight="1" x14ac:dyDescent="0.15">
      <c r="A12" s="20" t="s">
        <v>125</v>
      </c>
      <c r="B12" s="20" t="s">
        <v>120</v>
      </c>
      <c r="C12" s="20" t="s">
        <v>74</v>
      </c>
      <c r="D12" s="25" t="s">
        <v>126</v>
      </c>
      <c r="E12" s="25" t="s">
        <v>16</v>
      </c>
      <c r="F12" s="25" t="s">
        <v>112</v>
      </c>
      <c r="G12" s="26" t="s">
        <v>127</v>
      </c>
      <c r="H12" s="26" t="s">
        <v>78</v>
      </c>
      <c r="I12" s="20" t="s">
        <v>128</v>
      </c>
      <c r="J12" s="20" t="s">
        <v>80</v>
      </c>
      <c r="K12" s="20"/>
    </row>
    <row r="13" spans="1:11" ht="79.5" customHeight="1" x14ac:dyDescent="0.15">
      <c r="A13" s="20" t="s">
        <v>129</v>
      </c>
      <c r="B13" s="20" t="s">
        <v>120</v>
      </c>
      <c r="C13" s="20" t="s">
        <v>74</v>
      </c>
      <c r="D13" s="25" t="s">
        <v>130</v>
      </c>
      <c r="E13" s="25" t="s">
        <v>16</v>
      </c>
      <c r="F13" s="25" t="s">
        <v>76</v>
      </c>
      <c r="G13" s="26" t="s">
        <v>131</v>
      </c>
      <c r="H13" s="26" t="s">
        <v>78</v>
      </c>
      <c r="I13" s="20" t="s">
        <v>132</v>
      </c>
      <c r="J13" s="20" t="s">
        <v>80</v>
      </c>
      <c r="K13" s="20"/>
    </row>
    <row r="14" spans="1:11" ht="79.5" customHeight="1" x14ac:dyDescent="0.15">
      <c r="A14" s="20" t="s">
        <v>133</v>
      </c>
      <c r="B14" s="20" t="s">
        <v>120</v>
      </c>
      <c r="C14" s="20" t="s">
        <v>74</v>
      </c>
      <c r="D14" s="25" t="s">
        <v>134</v>
      </c>
      <c r="E14" s="25" t="s">
        <v>16</v>
      </c>
      <c r="F14" s="25" t="s">
        <v>76</v>
      </c>
      <c r="G14" s="26" t="s">
        <v>135</v>
      </c>
      <c r="H14" s="26" t="s">
        <v>78</v>
      </c>
      <c r="I14" s="20" t="s">
        <v>136</v>
      </c>
      <c r="J14" s="20" t="s">
        <v>80</v>
      </c>
      <c r="K14" s="20"/>
    </row>
    <row r="15" spans="1:11" ht="79.5" customHeight="1" x14ac:dyDescent="0.15">
      <c r="A15" s="20" t="s">
        <v>137</v>
      </c>
      <c r="B15" s="20" t="s">
        <v>138</v>
      </c>
      <c r="C15" s="20" t="s">
        <v>74</v>
      </c>
      <c r="D15" s="25" t="s">
        <v>139</v>
      </c>
      <c r="E15" s="25" t="s">
        <v>16</v>
      </c>
      <c r="F15" s="25" t="s">
        <v>140</v>
      </c>
      <c r="G15" s="26" t="s">
        <v>141</v>
      </c>
      <c r="H15" s="26" t="s">
        <v>78</v>
      </c>
      <c r="I15" s="20" t="s">
        <v>142</v>
      </c>
      <c r="J15" s="20" t="s">
        <v>80</v>
      </c>
      <c r="K15" s="20"/>
    </row>
    <row r="16" spans="1:11" ht="79.5" customHeight="1" x14ac:dyDescent="0.15">
      <c r="A16" s="20" t="s">
        <v>143</v>
      </c>
      <c r="B16" s="20" t="s">
        <v>138</v>
      </c>
      <c r="C16" s="20" t="s">
        <v>74</v>
      </c>
      <c r="D16" s="25" t="s">
        <v>144</v>
      </c>
      <c r="E16" s="25" t="s">
        <v>16</v>
      </c>
      <c r="F16" s="25" t="s">
        <v>122</v>
      </c>
      <c r="G16" s="26" t="s">
        <v>145</v>
      </c>
      <c r="H16" s="26" t="s">
        <v>78</v>
      </c>
      <c r="I16" s="20" t="s">
        <v>146</v>
      </c>
      <c r="J16" s="20" t="s">
        <v>80</v>
      </c>
      <c r="K16" s="20"/>
    </row>
    <row r="17" spans="1:11" ht="79.5" customHeight="1" x14ac:dyDescent="0.15">
      <c r="A17" s="20" t="s">
        <v>147</v>
      </c>
      <c r="B17" s="20" t="s">
        <v>138</v>
      </c>
      <c r="C17" s="20" t="s">
        <v>74</v>
      </c>
      <c r="D17" s="25" t="s">
        <v>148</v>
      </c>
      <c r="E17" s="25" t="s">
        <v>16</v>
      </c>
      <c r="F17" s="25" t="s">
        <v>122</v>
      </c>
      <c r="G17" s="26" t="s">
        <v>149</v>
      </c>
      <c r="H17" s="26" t="s">
        <v>78</v>
      </c>
      <c r="I17" s="20" t="s">
        <v>150</v>
      </c>
      <c r="J17" s="20" t="s">
        <v>80</v>
      </c>
      <c r="K17" s="20"/>
    </row>
    <row r="18" spans="1:11" ht="79.5" customHeight="1" x14ac:dyDescent="0.15">
      <c r="A18" s="20" t="s">
        <v>151</v>
      </c>
      <c r="B18" s="20" t="s">
        <v>138</v>
      </c>
      <c r="C18" s="20" t="s">
        <v>74</v>
      </c>
      <c r="D18" s="25" t="s">
        <v>152</v>
      </c>
      <c r="E18" s="25" t="s">
        <v>16</v>
      </c>
      <c r="F18" s="25" t="s">
        <v>112</v>
      </c>
      <c r="G18" s="26" t="s">
        <v>153</v>
      </c>
      <c r="H18" s="26" t="s">
        <v>78</v>
      </c>
      <c r="I18" s="20" t="s">
        <v>154</v>
      </c>
      <c r="J18" s="20" t="s">
        <v>80</v>
      </c>
      <c r="K18" s="20"/>
    </row>
    <row r="19" spans="1:11" ht="79.5" customHeight="1" x14ac:dyDescent="0.15">
      <c r="A19" s="20" t="s">
        <v>155</v>
      </c>
      <c r="B19" s="20" t="s">
        <v>138</v>
      </c>
      <c r="C19" s="20" t="s">
        <v>74</v>
      </c>
      <c r="D19" s="25" t="s">
        <v>156</v>
      </c>
      <c r="E19" s="25" t="s">
        <v>16</v>
      </c>
      <c r="F19" s="25" t="s">
        <v>157</v>
      </c>
      <c r="G19" s="26" t="s">
        <v>158</v>
      </c>
      <c r="H19" s="26" t="s">
        <v>78</v>
      </c>
      <c r="I19" s="20" t="s">
        <v>159</v>
      </c>
      <c r="J19" s="20" t="s">
        <v>80</v>
      </c>
      <c r="K19" s="20"/>
    </row>
    <row r="20" spans="1:11" ht="79.5" customHeight="1" x14ac:dyDescent="0.15">
      <c r="A20" s="20" t="s">
        <v>160</v>
      </c>
      <c r="B20" s="20" t="s">
        <v>161</v>
      </c>
      <c r="C20" s="20" t="s">
        <v>74</v>
      </c>
      <c r="D20" s="25" t="s">
        <v>162</v>
      </c>
      <c r="E20" s="25" t="s">
        <v>16</v>
      </c>
      <c r="F20" s="25" t="s">
        <v>102</v>
      </c>
      <c r="G20" s="26" t="s">
        <v>163</v>
      </c>
      <c r="H20" s="26" t="s">
        <v>78</v>
      </c>
      <c r="I20" s="20" t="s">
        <v>164</v>
      </c>
      <c r="J20" s="20" t="s">
        <v>80</v>
      </c>
      <c r="K20" s="20"/>
    </row>
    <row r="21" spans="1:11" ht="79.5" customHeight="1" x14ac:dyDescent="0.15">
      <c r="A21" s="20" t="s">
        <v>165</v>
      </c>
      <c r="B21" s="20" t="s">
        <v>161</v>
      </c>
      <c r="C21" s="20" t="s">
        <v>74</v>
      </c>
      <c r="D21" s="25" t="s">
        <v>166</v>
      </c>
      <c r="E21" s="25" t="s">
        <v>16</v>
      </c>
      <c r="F21" s="25" t="s">
        <v>122</v>
      </c>
      <c r="G21" s="26" t="s">
        <v>167</v>
      </c>
      <c r="H21" s="26" t="s">
        <v>78</v>
      </c>
      <c r="I21" s="20" t="s">
        <v>168</v>
      </c>
      <c r="J21" s="20" t="s">
        <v>80</v>
      </c>
      <c r="K21" s="20"/>
    </row>
    <row r="22" spans="1:11" ht="79.5" customHeight="1" x14ac:dyDescent="0.15">
      <c r="A22" s="20" t="s">
        <v>169</v>
      </c>
      <c r="B22" s="20" t="s">
        <v>161</v>
      </c>
      <c r="C22" s="20" t="s">
        <v>74</v>
      </c>
      <c r="D22" s="25" t="s">
        <v>170</v>
      </c>
      <c r="E22" s="25" t="s">
        <v>16</v>
      </c>
      <c r="F22" s="25" t="s">
        <v>140</v>
      </c>
      <c r="G22" s="26" t="s">
        <v>171</v>
      </c>
      <c r="H22" s="26" t="s">
        <v>78</v>
      </c>
      <c r="I22" s="20" t="s">
        <v>172</v>
      </c>
      <c r="J22" s="20" t="s">
        <v>80</v>
      </c>
      <c r="K22" s="20"/>
    </row>
    <row r="23" spans="1:11" ht="79.5" customHeight="1" x14ac:dyDescent="0.15">
      <c r="A23" s="20" t="s">
        <v>173</v>
      </c>
      <c r="B23" s="20" t="s">
        <v>161</v>
      </c>
      <c r="C23" s="20" t="s">
        <v>74</v>
      </c>
      <c r="D23" s="25" t="s">
        <v>174</v>
      </c>
      <c r="E23" s="25" t="s">
        <v>16</v>
      </c>
      <c r="F23" s="25" t="s">
        <v>175</v>
      </c>
      <c r="G23" s="26" t="s">
        <v>176</v>
      </c>
      <c r="H23" s="26" t="s">
        <v>78</v>
      </c>
      <c r="I23" s="20" t="s">
        <v>177</v>
      </c>
      <c r="J23" s="20" t="s">
        <v>80</v>
      </c>
      <c r="K23" s="20"/>
    </row>
    <row r="24" spans="1:11" ht="79.5" customHeight="1" x14ac:dyDescent="0.15">
      <c r="A24" s="20" t="s">
        <v>178</v>
      </c>
      <c r="B24" s="20" t="s">
        <v>179</v>
      </c>
      <c r="C24" s="20" t="s">
        <v>74</v>
      </c>
      <c r="D24" s="25" t="s">
        <v>180</v>
      </c>
      <c r="E24" s="25" t="s">
        <v>16</v>
      </c>
      <c r="F24" s="25" t="s">
        <v>76</v>
      </c>
      <c r="G24" s="26" t="s">
        <v>181</v>
      </c>
      <c r="H24" s="26" t="s">
        <v>78</v>
      </c>
      <c r="I24" s="20" t="s">
        <v>182</v>
      </c>
      <c r="J24" s="20" t="s">
        <v>80</v>
      </c>
      <c r="K24" s="20"/>
    </row>
    <row r="25" spans="1:11" ht="79.5" customHeight="1" x14ac:dyDescent="0.15">
      <c r="A25" s="20" t="s">
        <v>183</v>
      </c>
      <c r="B25" s="20" t="s">
        <v>179</v>
      </c>
      <c r="C25" s="20" t="s">
        <v>74</v>
      </c>
      <c r="D25" s="25" t="s">
        <v>184</v>
      </c>
      <c r="E25" s="25" t="s">
        <v>16</v>
      </c>
      <c r="F25" s="25" t="s">
        <v>122</v>
      </c>
      <c r="G25" s="26" t="s">
        <v>185</v>
      </c>
      <c r="H25" s="26" t="s">
        <v>78</v>
      </c>
      <c r="I25" s="20" t="s">
        <v>186</v>
      </c>
      <c r="J25" s="20" t="s">
        <v>80</v>
      </c>
      <c r="K25" s="20"/>
    </row>
    <row r="26" spans="1:11" ht="79.5" customHeight="1" x14ac:dyDescent="0.15">
      <c r="A26" s="20" t="s">
        <v>187</v>
      </c>
      <c r="B26" s="20" t="s">
        <v>179</v>
      </c>
      <c r="C26" s="20" t="s">
        <v>74</v>
      </c>
      <c r="D26" s="25" t="s">
        <v>188</v>
      </c>
      <c r="E26" s="25" t="s">
        <v>16</v>
      </c>
      <c r="F26" s="25" t="s">
        <v>112</v>
      </c>
      <c r="G26" s="26" t="s">
        <v>189</v>
      </c>
      <c r="H26" s="26" t="s">
        <v>78</v>
      </c>
      <c r="I26" s="20" t="s">
        <v>190</v>
      </c>
      <c r="J26" s="20" t="s">
        <v>80</v>
      </c>
      <c r="K26" s="20"/>
    </row>
    <row r="27" spans="1:11" ht="79.5" customHeight="1" x14ac:dyDescent="0.15">
      <c r="A27" s="20" t="s">
        <v>191</v>
      </c>
      <c r="B27" s="20" t="s">
        <v>179</v>
      </c>
      <c r="C27" s="20" t="s">
        <v>74</v>
      </c>
      <c r="D27" s="25" t="s">
        <v>192</v>
      </c>
      <c r="E27" s="25" t="s">
        <v>16</v>
      </c>
      <c r="F27" s="25" t="s">
        <v>76</v>
      </c>
      <c r="G27" s="26" t="s">
        <v>193</v>
      </c>
      <c r="H27" s="26" t="s">
        <v>78</v>
      </c>
      <c r="I27" s="20" t="s">
        <v>194</v>
      </c>
      <c r="J27" s="20" t="s">
        <v>80</v>
      </c>
      <c r="K27" s="20"/>
    </row>
    <row r="28" spans="1:11" ht="79.5" customHeight="1" x14ac:dyDescent="0.15">
      <c r="A28" s="20" t="s">
        <v>195</v>
      </c>
      <c r="B28" s="20" t="s">
        <v>196</v>
      </c>
      <c r="C28" s="20" t="s">
        <v>74</v>
      </c>
      <c r="D28" s="25" t="s">
        <v>197</v>
      </c>
      <c r="E28" s="25" t="s">
        <v>16</v>
      </c>
      <c r="F28" s="25" t="s">
        <v>198</v>
      </c>
      <c r="G28" s="26" t="s">
        <v>199</v>
      </c>
      <c r="H28" s="26" t="s">
        <v>78</v>
      </c>
      <c r="I28" s="20" t="s">
        <v>200</v>
      </c>
      <c r="J28" s="20" t="s">
        <v>80</v>
      </c>
      <c r="K28" s="20"/>
    </row>
    <row r="29" spans="1:11" ht="79.5" customHeight="1" x14ac:dyDescent="0.15">
      <c r="A29" s="20" t="s">
        <v>201</v>
      </c>
      <c r="B29" s="20" t="s">
        <v>196</v>
      </c>
      <c r="C29" s="20" t="s">
        <v>74</v>
      </c>
      <c r="D29" s="25" t="s">
        <v>202</v>
      </c>
      <c r="E29" s="25" t="s">
        <v>16</v>
      </c>
      <c r="F29" s="25" t="s">
        <v>198</v>
      </c>
      <c r="G29" s="26" t="s">
        <v>203</v>
      </c>
      <c r="H29" s="26" t="s">
        <v>78</v>
      </c>
      <c r="I29" s="20" t="s">
        <v>204</v>
      </c>
      <c r="J29" s="20" t="s">
        <v>80</v>
      </c>
      <c r="K29" s="20"/>
    </row>
    <row r="30" spans="1:11" ht="79.5" customHeight="1" x14ac:dyDescent="0.15">
      <c r="A30" s="20" t="s">
        <v>205</v>
      </c>
      <c r="B30" s="20" t="s">
        <v>196</v>
      </c>
      <c r="C30" s="20" t="s">
        <v>74</v>
      </c>
      <c r="D30" s="25" t="s">
        <v>206</v>
      </c>
      <c r="E30" s="25" t="s">
        <v>16</v>
      </c>
      <c r="F30" s="25" t="s">
        <v>112</v>
      </c>
      <c r="G30" s="26" t="s">
        <v>207</v>
      </c>
      <c r="H30" s="26" t="s">
        <v>78</v>
      </c>
      <c r="I30" s="20" t="s">
        <v>208</v>
      </c>
      <c r="J30" s="20" t="s">
        <v>80</v>
      </c>
      <c r="K30" s="20"/>
    </row>
    <row r="31" spans="1:11" ht="79.5" customHeight="1" x14ac:dyDescent="0.15">
      <c r="A31" s="20" t="s">
        <v>209</v>
      </c>
      <c r="B31" s="20" t="s">
        <v>196</v>
      </c>
      <c r="C31" s="20" t="s">
        <v>74</v>
      </c>
      <c r="D31" s="25" t="s">
        <v>210</v>
      </c>
      <c r="E31" s="25" t="s">
        <v>16</v>
      </c>
      <c r="F31" s="25" t="s">
        <v>175</v>
      </c>
      <c r="G31" s="26" t="s">
        <v>211</v>
      </c>
      <c r="H31" s="26" t="s">
        <v>78</v>
      </c>
      <c r="I31" s="20" t="s">
        <v>212</v>
      </c>
      <c r="J31" s="20" t="s">
        <v>80</v>
      </c>
      <c r="K31" s="20"/>
    </row>
    <row r="32" spans="1:11" ht="79.5" customHeight="1" x14ac:dyDescent="0.15">
      <c r="A32" s="20" t="s">
        <v>213</v>
      </c>
      <c r="B32" s="20" t="s">
        <v>196</v>
      </c>
      <c r="C32" s="20" t="s">
        <v>74</v>
      </c>
      <c r="D32" s="25" t="s">
        <v>214</v>
      </c>
      <c r="E32" s="25" t="s">
        <v>16</v>
      </c>
      <c r="F32" s="25" t="s">
        <v>215</v>
      </c>
      <c r="G32" s="26" t="s">
        <v>216</v>
      </c>
      <c r="H32" s="26" t="s">
        <v>78</v>
      </c>
      <c r="I32" s="20" t="s">
        <v>217</v>
      </c>
      <c r="J32" s="20" t="s">
        <v>80</v>
      </c>
      <c r="K32" s="20"/>
    </row>
    <row r="33" spans="1:11" ht="79.5" customHeight="1" x14ac:dyDescent="0.15">
      <c r="A33" s="20" t="s">
        <v>218</v>
      </c>
      <c r="B33" s="20" t="s">
        <v>219</v>
      </c>
      <c r="C33" s="20" t="s">
        <v>74</v>
      </c>
      <c r="D33" s="25" t="s">
        <v>220</v>
      </c>
      <c r="E33" s="25" t="s">
        <v>16</v>
      </c>
      <c r="F33" s="25" t="s">
        <v>198</v>
      </c>
      <c r="G33" s="26" t="s">
        <v>221</v>
      </c>
      <c r="H33" s="26" t="s">
        <v>78</v>
      </c>
      <c r="I33" s="20" t="s">
        <v>222</v>
      </c>
      <c r="J33" s="20" t="s">
        <v>80</v>
      </c>
      <c r="K33" s="20"/>
    </row>
    <row r="34" spans="1:11" ht="79.5" customHeight="1" x14ac:dyDescent="0.15">
      <c r="A34" s="20" t="s">
        <v>223</v>
      </c>
      <c r="B34" s="20" t="s">
        <v>219</v>
      </c>
      <c r="C34" s="20" t="s">
        <v>74</v>
      </c>
      <c r="D34" s="25" t="s">
        <v>224</v>
      </c>
      <c r="E34" s="25" t="s">
        <v>16</v>
      </c>
      <c r="F34" s="25" t="s">
        <v>175</v>
      </c>
      <c r="G34" s="26" t="s">
        <v>225</v>
      </c>
      <c r="H34" s="26" t="s">
        <v>78</v>
      </c>
      <c r="I34" s="20" t="s">
        <v>226</v>
      </c>
      <c r="J34" s="20" t="s">
        <v>80</v>
      </c>
      <c r="K34" s="20"/>
    </row>
    <row r="35" spans="1:11" ht="79.5" customHeight="1" x14ac:dyDescent="0.15">
      <c r="A35" s="20" t="s">
        <v>227</v>
      </c>
      <c r="B35" s="20" t="s">
        <v>219</v>
      </c>
      <c r="C35" s="20" t="s">
        <v>74</v>
      </c>
      <c r="D35" s="25" t="s">
        <v>228</v>
      </c>
      <c r="E35" s="25" t="s">
        <v>16</v>
      </c>
      <c r="F35" s="25" t="s">
        <v>175</v>
      </c>
      <c r="G35" s="26" t="s">
        <v>229</v>
      </c>
      <c r="H35" s="26" t="s">
        <v>78</v>
      </c>
      <c r="I35" s="20" t="s">
        <v>230</v>
      </c>
      <c r="J35" s="20" t="s">
        <v>80</v>
      </c>
      <c r="K35" s="20"/>
    </row>
    <row r="36" spans="1:11" ht="79.5" customHeight="1" x14ac:dyDescent="0.15">
      <c r="A36" s="20" t="s">
        <v>231</v>
      </c>
      <c r="B36" s="20" t="s">
        <v>219</v>
      </c>
      <c r="C36" s="20" t="s">
        <v>74</v>
      </c>
      <c r="D36" s="25" t="s">
        <v>232</v>
      </c>
      <c r="E36" s="25" t="s">
        <v>16</v>
      </c>
      <c r="F36" s="25" t="s">
        <v>122</v>
      </c>
      <c r="G36" s="26" t="s">
        <v>233</v>
      </c>
      <c r="H36" s="26" t="s">
        <v>78</v>
      </c>
      <c r="I36" s="20" t="s">
        <v>234</v>
      </c>
      <c r="J36" s="20" t="s">
        <v>80</v>
      </c>
      <c r="K36" s="20"/>
    </row>
    <row r="37" spans="1:11" ht="79.5" customHeight="1" x14ac:dyDescent="0.15">
      <c r="A37" s="20" t="s">
        <v>235</v>
      </c>
      <c r="B37" s="20" t="s">
        <v>236</v>
      </c>
      <c r="C37" s="20" t="s">
        <v>74</v>
      </c>
      <c r="D37" s="25" t="s">
        <v>237</v>
      </c>
      <c r="E37" s="25" t="s">
        <v>16</v>
      </c>
      <c r="F37" s="25" t="s">
        <v>175</v>
      </c>
      <c r="G37" s="26" t="s">
        <v>238</v>
      </c>
      <c r="H37" s="26" t="s">
        <v>78</v>
      </c>
      <c r="I37" s="20" t="s">
        <v>239</v>
      </c>
      <c r="J37" s="20" t="s">
        <v>80</v>
      </c>
      <c r="K37" s="20"/>
    </row>
    <row r="38" spans="1:11" ht="79.5" customHeight="1" x14ac:dyDescent="0.15">
      <c r="A38" s="20" t="s">
        <v>240</v>
      </c>
      <c r="B38" s="20" t="s">
        <v>236</v>
      </c>
      <c r="C38" s="20" t="s">
        <v>74</v>
      </c>
      <c r="D38" s="25" t="s">
        <v>241</v>
      </c>
      <c r="E38" s="25" t="s">
        <v>16</v>
      </c>
      <c r="F38" s="25" t="s">
        <v>242</v>
      </c>
      <c r="G38" s="26" t="s">
        <v>243</v>
      </c>
      <c r="H38" s="26" t="s">
        <v>78</v>
      </c>
      <c r="I38" s="20" t="s">
        <v>244</v>
      </c>
      <c r="J38" s="20" t="s">
        <v>80</v>
      </c>
      <c r="K38" s="20"/>
    </row>
    <row r="39" spans="1:11" ht="79.5" customHeight="1" x14ac:dyDescent="0.15">
      <c r="A39" s="20" t="s">
        <v>245</v>
      </c>
      <c r="B39" s="20" t="s">
        <v>236</v>
      </c>
      <c r="C39" s="20" t="s">
        <v>74</v>
      </c>
      <c r="D39" s="25" t="s">
        <v>246</v>
      </c>
      <c r="E39" s="25" t="s">
        <v>16</v>
      </c>
      <c r="F39" s="25" t="s">
        <v>107</v>
      </c>
      <c r="G39" s="26" t="s">
        <v>247</v>
      </c>
      <c r="H39" s="26" t="s">
        <v>78</v>
      </c>
      <c r="I39" s="20" t="s">
        <v>248</v>
      </c>
      <c r="J39" s="20" t="s">
        <v>80</v>
      </c>
      <c r="K39" s="20"/>
    </row>
    <row r="40" spans="1:11" ht="79.5" customHeight="1" x14ac:dyDescent="0.15">
      <c r="A40" s="20" t="s">
        <v>249</v>
      </c>
      <c r="B40" s="20" t="s">
        <v>236</v>
      </c>
      <c r="C40" s="20" t="s">
        <v>74</v>
      </c>
      <c r="D40" s="25" t="s">
        <v>250</v>
      </c>
      <c r="E40" s="25" t="s">
        <v>16</v>
      </c>
      <c r="F40" s="25" t="s">
        <v>76</v>
      </c>
      <c r="G40" s="26" t="s">
        <v>251</v>
      </c>
      <c r="H40" s="26" t="s">
        <v>78</v>
      </c>
      <c r="I40" s="20" t="s">
        <v>252</v>
      </c>
      <c r="J40" s="20" t="s">
        <v>80</v>
      </c>
      <c r="K40" s="20"/>
    </row>
    <row r="41" spans="1:11" ht="79.5" customHeight="1" x14ac:dyDescent="0.15">
      <c r="A41" s="20" t="s">
        <v>253</v>
      </c>
      <c r="B41" s="20" t="s">
        <v>254</v>
      </c>
      <c r="C41" s="20" t="s">
        <v>74</v>
      </c>
      <c r="D41" s="25" t="s">
        <v>255</v>
      </c>
      <c r="E41" s="25" t="s">
        <v>16</v>
      </c>
      <c r="F41" s="25" t="s">
        <v>76</v>
      </c>
      <c r="G41" s="26" t="s">
        <v>256</v>
      </c>
      <c r="H41" s="26" t="s">
        <v>78</v>
      </c>
      <c r="I41" s="20" t="s">
        <v>257</v>
      </c>
      <c r="J41" s="20" t="s">
        <v>80</v>
      </c>
      <c r="K41" s="20"/>
    </row>
    <row r="42" spans="1:11" ht="79.5" customHeight="1" x14ac:dyDescent="0.15">
      <c r="A42" s="20" t="s">
        <v>258</v>
      </c>
      <c r="B42" s="20" t="s">
        <v>254</v>
      </c>
      <c r="C42" s="20" t="s">
        <v>74</v>
      </c>
      <c r="D42" s="25" t="s">
        <v>259</v>
      </c>
      <c r="E42" s="25" t="s">
        <v>16</v>
      </c>
      <c r="F42" s="25" t="s">
        <v>76</v>
      </c>
      <c r="G42" s="26" t="s">
        <v>260</v>
      </c>
      <c r="H42" s="26" t="s">
        <v>78</v>
      </c>
      <c r="I42" s="20" t="s">
        <v>261</v>
      </c>
      <c r="J42" s="20" t="s">
        <v>80</v>
      </c>
      <c r="K42" s="20"/>
    </row>
    <row r="43" spans="1:11" ht="79.5" customHeight="1" x14ac:dyDescent="0.15">
      <c r="A43" s="20" t="s">
        <v>262</v>
      </c>
      <c r="B43" s="20" t="s">
        <v>254</v>
      </c>
      <c r="C43" s="20" t="s">
        <v>74</v>
      </c>
      <c r="D43" s="25" t="s">
        <v>263</v>
      </c>
      <c r="E43" s="25" t="s">
        <v>16</v>
      </c>
      <c r="F43" s="25" t="s">
        <v>76</v>
      </c>
      <c r="G43" s="26" t="s">
        <v>264</v>
      </c>
      <c r="H43" s="26" t="s">
        <v>78</v>
      </c>
      <c r="I43" s="20" t="s">
        <v>265</v>
      </c>
      <c r="J43" s="20" t="s">
        <v>80</v>
      </c>
      <c r="K43" s="20"/>
    </row>
    <row r="44" spans="1:11" ht="79.5" customHeight="1" x14ac:dyDescent="0.15">
      <c r="A44" s="20" t="s">
        <v>266</v>
      </c>
      <c r="B44" s="20" t="s">
        <v>254</v>
      </c>
      <c r="C44" s="20" t="s">
        <v>74</v>
      </c>
      <c r="D44" s="25" t="s">
        <v>267</v>
      </c>
      <c r="E44" s="25" t="s">
        <v>16</v>
      </c>
      <c r="F44" s="25" t="s">
        <v>198</v>
      </c>
      <c r="G44" s="26" t="s">
        <v>268</v>
      </c>
      <c r="H44" s="26" t="s">
        <v>78</v>
      </c>
      <c r="I44" s="20" t="s">
        <v>269</v>
      </c>
      <c r="J44" s="20" t="s">
        <v>80</v>
      </c>
      <c r="K44" s="20"/>
    </row>
    <row r="45" spans="1:11" ht="79.5" customHeight="1" x14ac:dyDescent="0.15">
      <c r="A45" s="20" t="s">
        <v>270</v>
      </c>
      <c r="B45" s="20" t="s">
        <v>254</v>
      </c>
      <c r="C45" s="20" t="s">
        <v>74</v>
      </c>
      <c r="D45" s="25" t="s">
        <v>271</v>
      </c>
      <c r="E45" s="25" t="s">
        <v>16</v>
      </c>
      <c r="F45" s="25" t="s">
        <v>76</v>
      </c>
      <c r="G45" s="26" t="s">
        <v>272</v>
      </c>
      <c r="H45" s="26" t="s">
        <v>78</v>
      </c>
      <c r="I45" s="20" t="s">
        <v>273</v>
      </c>
      <c r="J45" s="20" t="s">
        <v>80</v>
      </c>
      <c r="K45" s="20"/>
    </row>
    <row r="46" spans="1:11" ht="79.5" customHeight="1" x14ac:dyDescent="0.15">
      <c r="A46" s="20" t="s">
        <v>274</v>
      </c>
      <c r="B46" s="20" t="s">
        <v>275</v>
      </c>
      <c r="C46" s="20" t="s">
        <v>74</v>
      </c>
      <c r="D46" s="25" t="s">
        <v>276</v>
      </c>
      <c r="E46" s="25" t="s">
        <v>16</v>
      </c>
      <c r="F46" s="25" t="s">
        <v>76</v>
      </c>
      <c r="G46" s="26" t="s">
        <v>277</v>
      </c>
      <c r="H46" s="26" t="s">
        <v>78</v>
      </c>
      <c r="I46" s="20" t="s">
        <v>278</v>
      </c>
      <c r="J46" s="20" t="s">
        <v>80</v>
      </c>
      <c r="K46" s="20"/>
    </row>
    <row r="47" spans="1:11" ht="79.5" customHeight="1" x14ac:dyDescent="0.15">
      <c r="A47" s="20" t="s">
        <v>279</v>
      </c>
      <c r="B47" s="20" t="s">
        <v>275</v>
      </c>
      <c r="C47" s="20" t="s">
        <v>74</v>
      </c>
      <c r="D47" s="25" t="s">
        <v>280</v>
      </c>
      <c r="E47" s="25" t="s">
        <v>16</v>
      </c>
      <c r="F47" s="25" t="s">
        <v>76</v>
      </c>
      <c r="G47" s="26" t="s">
        <v>281</v>
      </c>
      <c r="H47" s="26" t="s">
        <v>78</v>
      </c>
      <c r="I47" s="20" t="s">
        <v>282</v>
      </c>
      <c r="J47" s="20" t="s">
        <v>80</v>
      </c>
      <c r="K47" s="20"/>
    </row>
    <row r="48" spans="1:11" ht="79.5" customHeight="1" x14ac:dyDescent="0.15">
      <c r="A48" s="20" t="s">
        <v>283</v>
      </c>
      <c r="B48" s="20" t="s">
        <v>275</v>
      </c>
      <c r="C48" s="20" t="s">
        <v>74</v>
      </c>
      <c r="D48" s="25" t="s">
        <v>284</v>
      </c>
      <c r="E48" s="25" t="s">
        <v>16</v>
      </c>
      <c r="F48" s="25" t="s">
        <v>76</v>
      </c>
      <c r="G48" s="26" t="s">
        <v>285</v>
      </c>
      <c r="H48" s="26" t="s">
        <v>78</v>
      </c>
      <c r="I48" s="20" t="s">
        <v>286</v>
      </c>
      <c r="J48" s="20" t="s">
        <v>80</v>
      </c>
      <c r="K48" s="20"/>
    </row>
    <row r="49" spans="1:11" ht="79.5" customHeight="1" x14ac:dyDescent="0.15">
      <c r="A49" s="20" t="s">
        <v>287</v>
      </c>
      <c r="B49" s="20" t="s">
        <v>275</v>
      </c>
      <c r="C49" s="20" t="s">
        <v>74</v>
      </c>
      <c r="D49" s="25" t="s">
        <v>288</v>
      </c>
      <c r="E49" s="25" t="s">
        <v>16</v>
      </c>
      <c r="F49" s="25" t="s">
        <v>76</v>
      </c>
      <c r="G49" s="26" t="s">
        <v>289</v>
      </c>
      <c r="H49" s="26" t="s">
        <v>78</v>
      </c>
      <c r="I49" s="20" t="s">
        <v>290</v>
      </c>
      <c r="J49" s="20" t="s">
        <v>80</v>
      </c>
      <c r="K49" s="20"/>
    </row>
    <row r="50" spans="1:11" ht="79.5" customHeight="1" x14ac:dyDescent="0.15">
      <c r="A50" s="20" t="s">
        <v>291</v>
      </c>
      <c r="B50" s="20" t="s">
        <v>292</v>
      </c>
      <c r="C50" s="20" t="s">
        <v>74</v>
      </c>
      <c r="D50" s="25" t="s">
        <v>293</v>
      </c>
      <c r="E50" s="25" t="s">
        <v>16</v>
      </c>
      <c r="F50" s="25" t="s">
        <v>76</v>
      </c>
      <c r="G50" s="26" t="s">
        <v>294</v>
      </c>
      <c r="H50" s="26" t="s">
        <v>78</v>
      </c>
      <c r="I50" s="20" t="s">
        <v>295</v>
      </c>
      <c r="J50" s="20" t="s">
        <v>80</v>
      </c>
      <c r="K50" s="20"/>
    </row>
    <row r="51" spans="1:11" ht="79.5" customHeight="1" x14ac:dyDescent="0.15">
      <c r="A51" s="20" t="s">
        <v>296</v>
      </c>
      <c r="B51" s="20" t="s">
        <v>292</v>
      </c>
      <c r="C51" s="20" t="s">
        <v>74</v>
      </c>
      <c r="D51" s="25" t="s">
        <v>297</v>
      </c>
      <c r="E51" s="25" t="s">
        <v>16</v>
      </c>
      <c r="F51" s="25" t="s">
        <v>76</v>
      </c>
      <c r="G51" s="26" t="s">
        <v>298</v>
      </c>
      <c r="H51" s="26" t="s">
        <v>78</v>
      </c>
      <c r="I51" s="20" t="s">
        <v>299</v>
      </c>
      <c r="J51" s="20" t="s">
        <v>80</v>
      </c>
      <c r="K51" s="20"/>
    </row>
    <row r="52" spans="1:11" ht="79.5" customHeight="1" x14ac:dyDescent="0.15">
      <c r="A52" s="20" t="s">
        <v>300</v>
      </c>
      <c r="B52" s="20" t="s">
        <v>292</v>
      </c>
      <c r="C52" s="20" t="s">
        <v>74</v>
      </c>
      <c r="D52" s="25" t="s">
        <v>301</v>
      </c>
      <c r="E52" s="25" t="s">
        <v>16</v>
      </c>
      <c r="F52" s="25" t="s">
        <v>76</v>
      </c>
      <c r="G52" s="26" t="s">
        <v>302</v>
      </c>
      <c r="H52" s="26" t="s">
        <v>78</v>
      </c>
      <c r="I52" s="20" t="s">
        <v>303</v>
      </c>
      <c r="J52" s="20" t="s">
        <v>80</v>
      </c>
      <c r="K52" s="20"/>
    </row>
    <row r="53" spans="1:11" ht="79.5" customHeight="1" x14ac:dyDescent="0.15">
      <c r="A53" s="20" t="s">
        <v>304</v>
      </c>
      <c r="B53" s="20" t="s">
        <v>292</v>
      </c>
      <c r="C53" s="20" t="s">
        <v>74</v>
      </c>
      <c r="D53" s="25" t="s">
        <v>305</v>
      </c>
      <c r="E53" s="25" t="s">
        <v>16</v>
      </c>
      <c r="F53" s="25" t="s">
        <v>76</v>
      </c>
      <c r="G53" s="26" t="s">
        <v>306</v>
      </c>
      <c r="H53" s="26" t="s">
        <v>78</v>
      </c>
      <c r="I53" s="20" t="s">
        <v>307</v>
      </c>
      <c r="J53" s="20" t="s">
        <v>80</v>
      </c>
      <c r="K53" s="20"/>
    </row>
  </sheetData>
  <dataValidations count="1">
    <dataValidation type="list" allowBlank="1" sqref="J2:J53" xr:uid="{00000000-0002-0000-0200-000000000000}">
      <formula1>"⬜,🔄,✅,⏸️"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3"/>
  <sheetViews>
    <sheetView workbookViewId="0"/>
  </sheetViews>
  <sheetFormatPr baseColWidth="10" defaultColWidth="8.6640625" defaultRowHeight="13" x14ac:dyDescent="0.15"/>
  <cols>
    <col min="1" max="1" width="8" customWidth="1"/>
    <col min="2" max="2" width="5" customWidth="1"/>
    <col min="3" max="3" width="10" customWidth="1"/>
    <col min="4" max="4" width="45" customWidth="1"/>
    <col min="5" max="5" width="8" customWidth="1"/>
    <col min="6" max="6" width="50" customWidth="1"/>
    <col min="7" max="7" width="55" customWidth="1"/>
    <col min="8" max="8" width="8" customWidth="1"/>
    <col min="9" max="9" width="25" customWidth="1"/>
    <col min="10" max="10" width="8" customWidth="1"/>
    <col min="11" max="11" width="15" customWidth="1"/>
  </cols>
  <sheetData>
    <row r="1" spans="1:11" ht="30" x14ac:dyDescent="0.15">
      <c r="A1" s="24" t="s">
        <v>61</v>
      </c>
      <c r="B1" s="24" t="s">
        <v>62</v>
      </c>
      <c r="C1" s="24" t="s">
        <v>63</v>
      </c>
      <c r="D1" s="24" t="s">
        <v>64</v>
      </c>
      <c r="E1" s="24" t="s">
        <v>65</v>
      </c>
      <c r="F1" s="24" t="s">
        <v>66</v>
      </c>
      <c r="G1" s="24" t="s">
        <v>67</v>
      </c>
      <c r="H1" s="24" t="s">
        <v>68</v>
      </c>
      <c r="I1" s="24" t="s">
        <v>69</v>
      </c>
      <c r="J1" s="24" t="s">
        <v>70</v>
      </c>
      <c r="K1" s="24" t="s">
        <v>71</v>
      </c>
    </row>
    <row r="2" spans="1:11" ht="79.5" customHeight="1" x14ac:dyDescent="0.15">
      <c r="A2" s="20" t="s">
        <v>72</v>
      </c>
      <c r="B2" s="20" t="s">
        <v>73</v>
      </c>
      <c r="C2" s="20" t="s">
        <v>74</v>
      </c>
      <c r="D2" s="25" t="s">
        <v>308</v>
      </c>
      <c r="E2" s="25" t="s">
        <v>16</v>
      </c>
      <c r="F2" s="25" t="s">
        <v>140</v>
      </c>
      <c r="G2" s="26" t="s">
        <v>309</v>
      </c>
      <c r="H2" s="26" t="s">
        <v>78</v>
      </c>
      <c r="I2" s="20" t="s">
        <v>310</v>
      </c>
      <c r="J2" s="20" t="s">
        <v>80</v>
      </c>
      <c r="K2" s="20"/>
    </row>
    <row r="3" spans="1:11" ht="79.5" customHeight="1" x14ac:dyDescent="0.15">
      <c r="A3" s="20" t="s">
        <v>81</v>
      </c>
      <c r="B3" s="20" t="s">
        <v>73</v>
      </c>
      <c r="C3" s="20" t="s">
        <v>74</v>
      </c>
      <c r="D3" s="25" t="s">
        <v>311</v>
      </c>
      <c r="E3" s="25" t="s">
        <v>16</v>
      </c>
      <c r="F3" s="25" t="s">
        <v>122</v>
      </c>
      <c r="G3" s="26" t="s">
        <v>312</v>
      </c>
      <c r="H3" s="26" t="s">
        <v>78</v>
      </c>
      <c r="I3" s="20" t="s">
        <v>313</v>
      </c>
      <c r="J3" s="20" t="s">
        <v>80</v>
      </c>
      <c r="K3" s="20"/>
    </row>
    <row r="4" spans="1:11" ht="79.5" customHeight="1" x14ac:dyDescent="0.15">
      <c r="A4" s="20" t="s">
        <v>86</v>
      </c>
      <c r="B4" s="20" t="s">
        <v>73</v>
      </c>
      <c r="C4" s="20" t="s">
        <v>74</v>
      </c>
      <c r="D4" s="25" t="s">
        <v>314</v>
      </c>
      <c r="E4" s="25" t="s">
        <v>16</v>
      </c>
      <c r="F4" s="25" t="s">
        <v>122</v>
      </c>
      <c r="G4" s="26" t="s">
        <v>315</v>
      </c>
      <c r="H4" s="26" t="s">
        <v>78</v>
      </c>
      <c r="I4" s="20" t="s">
        <v>316</v>
      </c>
      <c r="J4" s="20" t="s">
        <v>80</v>
      </c>
      <c r="K4" s="20"/>
    </row>
    <row r="5" spans="1:11" ht="79.5" customHeight="1" x14ac:dyDescent="0.15">
      <c r="A5" s="20" t="s">
        <v>91</v>
      </c>
      <c r="B5" s="20" t="s">
        <v>73</v>
      </c>
      <c r="C5" s="20" t="s">
        <v>74</v>
      </c>
      <c r="D5" s="25" t="s">
        <v>317</v>
      </c>
      <c r="E5" s="25" t="s">
        <v>16</v>
      </c>
      <c r="F5" s="25" t="s">
        <v>122</v>
      </c>
      <c r="G5" s="26" t="s">
        <v>318</v>
      </c>
      <c r="H5" s="26" t="s">
        <v>78</v>
      </c>
      <c r="I5" s="20" t="s">
        <v>319</v>
      </c>
      <c r="J5" s="20" t="s">
        <v>80</v>
      </c>
      <c r="K5" s="20"/>
    </row>
    <row r="6" spans="1:11" ht="79.5" customHeight="1" x14ac:dyDescent="0.15">
      <c r="A6" s="20" t="s">
        <v>95</v>
      </c>
      <c r="B6" s="20" t="s">
        <v>73</v>
      </c>
      <c r="C6" s="20" t="s">
        <v>74</v>
      </c>
      <c r="D6" s="25" t="s">
        <v>320</v>
      </c>
      <c r="E6" s="25" t="s">
        <v>16</v>
      </c>
      <c r="F6" s="25" t="s">
        <v>122</v>
      </c>
      <c r="G6" s="26" t="s">
        <v>321</v>
      </c>
      <c r="H6" s="26" t="s">
        <v>78</v>
      </c>
      <c r="I6" s="20" t="s">
        <v>322</v>
      </c>
      <c r="J6" s="20" t="s">
        <v>80</v>
      </c>
      <c r="K6" s="20"/>
    </row>
    <row r="7" spans="1:11" ht="79.5" customHeight="1" x14ac:dyDescent="0.15">
      <c r="A7" s="20" t="s">
        <v>99</v>
      </c>
      <c r="B7" s="20" t="s">
        <v>100</v>
      </c>
      <c r="C7" s="20" t="s">
        <v>74</v>
      </c>
      <c r="D7" s="25" t="s">
        <v>323</v>
      </c>
      <c r="E7" s="25" t="s">
        <v>16</v>
      </c>
      <c r="F7" s="25" t="s">
        <v>122</v>
      </c>
      <c r="G7" s="26" t="s">
        <v>324</v>
      </c>
      <c r="H7" s="26" t="s">
        <v>78</v>
      </c>
      <c r="I7" s="20" t="s">
        <v>325</v>
      </c>
      <c r="J7" s="20" t="s">
        <v>80</v>
      </c>
      <c r="K7" s="20"/>
    </row>
    <row r="8" spans="1:11" ht="79.5" customHeight="1" x14ac:dyDescent="0.15">
      <c r="A8" s="20" t="s">
        <v>105</v>
      </c>
      <c r="B8" s="20" t="s">
        <v>100</v>
      </c>
      <c r="C8" s="20" t="s">
        <v>74</v>
      </c>
      <c r="D8" s="25" t="s">
        <v>326</v>
      </c>
      <c r="E8" s="25" t="s">
        <v>16</v>
      </c>
      <c r="F8" s="25" t="s">
        <v>175</v>
      </c>
      <c r="G8" s="26" t="s">
        <v>327</v>
      </c>
      <c r="H8" s="26" t="s">
        <v>78</v>
      </c>
      <c r="I8" s="20" t="s">
        <v>328</v>
      </c>
      <c r="J8" s="20" t="s">
        <v>80</v>
      </c>
      <c r="K8" s="20"/>
    </row>
    <row r="9" spans="1:11" ht="79.5" customHeight="1" x14ac:dyDescent="0.15">
      <c r="A9" s="20" t="s">
        <v>110</v>
      </c>
      <c r="B9" s="20" t="s">
        <v>100</v>
      </c>
      <c r="C9" s="20" t="s">
        <v>74</v>
      </c>
      <c r="D9" s="25" t="s">
        <v>329</v>
      </c>
      <c r="E9" s="25" t="s">
        <v>16</v>
      </c>
      <c r="F9" s="25" t="s">
        <v>112</v>
      </c>
      <c r="G9" s="26" t="s">
        <v>330</v>
      </c>
      <c r="H9" s="26" t="s">
        <v>78</v>
      </c>
      <c r="I9" s="20" t="s">
        <v>331</v>
      </c>
      <c r="J9" s="20" t="s">
        <v>80</v>
      </c>
      <c r="K9" s="20"/>
    </row>
    <row r="10" spans="1:11" ht="79.5" customHeight="1" x14ac:dyDescent="0.15">
      <c r="A10" s="20" t="s">
        <v>115</v>
      </c>
      <c r="B10" s="20" t="s">
        <v>100</v>
      </c>
      <c r="C10" s="20" t="s">
        <v>74</v>
      </c>
      <c r="D10" s="25" t="s">
        <v>332</v>
      </c>
      <c r="E10" s="25" t="s">
        <v>16</v>
      </c>
      <c r="F10" s="25" t="s">
        <v>157</v>
      </c>
      <c r="G10" s="26" t="s">
        <v>333</v>
      </c>
      <c r="H10" s="26" t="s">
        <v>78</v>
      </c>
      <c r="I10" s="20" t="s">
        <v>334</v>
      </c>
      <c r="J10" s="20" t="s">
        <v>80</v>
      </c>
      <c r="K10" s="20"/>
    </row>
    <row r="11" spans="1:11" ht="79.5" customHeight="1" x14ac:dyDescent="0.15">
      <c r="A11" s="20" t="s">
        <v>119</v>
      </c>
      <c r="B11" s="20" t="s">
        <v>120</v>
      </c>
      <c r="C11" s="20" t="s">
        <v>74</v>
      </c>
      <c r="D11" s="25" t="s">
        <v>335</v>
      </c>
      <c r="E11" s="25" t="s">
        <v>16</v>
      </c>
      <c r="F11" s="25" t="s">
        <v>157</v>
      </c>
      <c r="G11" s="26" t="s">
        <v>336</v>
      </c>
      <c r="H11" s="26" t="s">
        <v>78</v>
      </c>
      <c r="I11" s="20" t="s">
        <v>337</v>
      </c>
      <c r="J11" s="20" t="s">
        <v>80</v>
      </c>
      <c r="K11" s="20"/>
    </row>
    <row r="12" spans="1:11" ht="79.5" customHeight="1" x14ac:dyDescent="0.15">
      <c r="A12" s="20" t="s">
        <v>125</v>
      </c>
      <c r="B12" s="20" t="s">
        <v>120</v>
      </c>
      <c r="C12" s="20" t="s">
        <v>74</v>
      </c>
      <c r="D12" s="25" t="s">
        <v>338</v>
      </c>
      <c r="E12" s="25" t="s">
        <v>16</v>
      </c>
      <c r="F12" s="25" t="s">
        <v>140</v>
      </c>
      <c r="G12" s="26" t="s">
        <v>339</v>
      </c>
      <c r="H12" s="26" t="s">
        <v>78</v>
      </c>
      <c r="I12" s="20" t="s">
        <v>340</v>
      </c>
      <c r="J12" s="20" t="s">
        <v>80</v>
      </c>
      <c r="K12" s="20"/>
    </row>
    <row r="13" spans="1:11" ht="79.5" customHeight="1" x14ac:dyDescent="0.15">
      <c r="A13" s="20" t="s">
        <v>129</v>
      </c>
      <c r="B13" s="20" t="s">
        <v>120</v>
      </c>
      <c r="C13" s="20" t="s">
        <v>74</v>
      </c>
      <c r="D13" s="25" t="s">
        <v>341</v>
      </c>
      <c r="E13" s="25" t="s">
        <v>16</v>
      </c>
      <c r="F13" s="25" t="s">
        <v>140</v>
      </c>
      <c r="G13" s="26" t="s">
        <v>342</v>
      </c>
      <c r="H13" s="26" t="s">
        <v>78</v>
      </c>
      <c r="I13" s="20" t="s">
        <v>343</v>
      </c>
      <c r="J13" s="20" t="s">
        <v>80</v>
      </c>
      <c r="K13" s="20"/>
    </row>
    <row r="14" spans="1:11" ht="79.5" customHeight="1" x14ac:dyDescent="0.15">
      <c r="A14" s="20" t="s">
        <v>133</v>
      </c>
      <c r="B14" s="20" t="s">
        <v>120</v>
      </c>
      <c r="C14" s="20" t="s">
        <v>74</v>
      </c>
      <c r="D14" s="25" t="s">
        <v>344</v>
      </c>
      <c r="E14" s="25" t="s">
        <v>16</v>
      </c>
      <c r="F14" s="25" t="s">
        <v>140</v>
      </c>
      <c r="G14" s="26" t="s">
        <v>345</v>
      </c>
      <c r="H14" s="26" t="s">
        <v>78</v>
      </c>
      <c r="I14" s="20" t="s">
        <v>346</v>
      </c>
      <c r="J14" s="20" t="s">
        <v>80</v>
      </c>
      <c r="K14" s="20"/>
    </row>
    <row r="15" spans="1:11" ht="79.5" customHeight="1" x14ac:dyDescent="0.15">
      <c r="A15" s="20" t="s">
        <v>137</v>
      </c>
      <c r="B15" s="20" t="s">
        <v>138</v>
      </c>
      <c r="C15" s="20" t="s">
        <v>74</v>
      </c>
      <c r="D15" s="25" t="s">
        <v>347</v>
      </c>
      <c r="E15" s="25" t="s">
        <v>16</v>
      </c>
      <c r="F15" s="25" t="s">
        <v>122</v>
      </c>
      <c r="G15" s="26" t="s">
        <v>348</v>
      </c>
      <c r="H15" s="26" t="s">
        <v>78</v>
      </c>
      <c r="I15" s="20" t="s">
        <v>349</v>
      </c>
      <c r="J15" s="20" t="s">
        <v>80</v>
      </c>
      <c r="K15" s="20"/>
    </row>
    <row r="16" spans="1:11" ht="79.5" customHeight="1" x14ac:dyDescent="0.15">
      <c r="A16" s="20" t="s">
        <v>143</v>
      </c>
      <c r="B16" s="20" t="s">
        <v>138</v>
      </c>
      <c r="C16" s="20" t="s">
        <v>74</v>
      </c>
      <c r="D16" s="25" t="s">
        <v>350</v>
      </c>
      <c r="E16" s="25" t="s">
        <v>16</v>
      </c>
      <c r="F16" s="25" t="s">
        <v>140</v>
      </c>
      <c r="G16" s="26" t="s">
        <v>351</v>
      </c>
      <c r="H16" s="26" t="s">
        <v>78</v>
      </c>
      <c r="I16" s="20" t="s">
        <v>352</v>
      </c>
      <c r="J16" s="20" t="s">
        <v>80</v>
      </c>
      <c r="K16" s="20"/>
    </row>
    <row r="17" spans="1:11" ht="79.5" customHeight="1" x14ac:dyDescent="0.15">
      <c r="A17" s="20" t="s">
        <v>147</v>
      </c>
      <c r="B17" s="20" t="s">
        <v>138</v>
      </c>
      <c r="C17" s="20" t="s">
        <v>74</v>
      </c>
      <c r="D17" s="25" t="s">
        <v>353</v>
      </c>
      <c r="E17" s="25" t="s">
        <v>16</v>
      </c>
      <c r="F17" s="25" t="s">
        <v>122</v>
      </c>
      <c r="G17" s="26" t="s">
        <v>354</v>
      </c>
      <c r="H17" s="26" t="s">
        <v>78</v>
      </c>
      <c r="I17" s="20" t="s">
        <v>355</v>
      </c>
      <c r="J17" s="20" t="s">
        <v>80</v>
      </c>
      <c r="K17" s="20"/>
    </row>
    <row r="18" spans="1:11" ht="79.5" customHeight="1" x14ac:dyDescent="0.15">
      <c r="A18" s="20" t="s">
        <v>151</v>
      </c>
      <c r="B18" s="20" t="s">
        <v>138</v>
      </c>
      <c r="C18" s="20" t="s">
        <v>74</v>
      </c>
      <c r="D18" s="25" t="s">
        <v>356</v>
      </c>
      <c r="E18" s="25" t="s">
        <v>16</v>
      </c>
      <c r="F18" s="25" t="s">
        <v>175</v>
      </c>
      <c r="G18" s="26" t="s">
        <v>357</v>
      </c>
      <c r="H18" s="26" t="s">
        <v>78</v>
      </c>
      <c r="I18" s="20" t="s">
        <v>358</v>
      </c>
      <c r="J18" s="20" t="s">
        <v>80</v>
      </c>
      <c r="K18" s="20"/>
    </row>
    <row r="19" spans="1:11" ht="79.5" customHeight="1" x14ac:dyDescent="0.15">
      <c r="A19" s="20" t="s">
        <v>155</v>
      </c>
      <c r="B19" s="20" t="s">
        <v>138</v>
      </c>
      <c r="C19" s="20" t="s">
        <v>74</v>
      </c>
      <c r="D19" s="25" t="s">
        <v>359</v>
      </c>
      <c r="E19" s="25" t="s">
        <v>16</v>
      </c>
      <c r="F19" s="25" t="s">
        <v>175</v>
      </c>
      <c r="G19" s="26" t="s">
        <v>360</v>
      </c>
      <c r="H19" s="26" t="s">
        <v>78</v>
      </c>
      <c r="I19" s="20" t="s">
        <v>361</v>
      </c>
      <c r="J19" s="20" t="s">
        <v>80</v>
      </c>
      <c r="K19" s="20"/>
    </row>
    <row r="20" spans="1:11" ht="79.5" customHeight="1" x14ac:dyDescent="0.15">
      <c r="A20" s="20" t="s">
        <v>160</v>
      </c>
      <c r="B20" s="20" t="s">
        <v>161</v>
      </c>
      <c r="C20" s="20" t="s">
        <v>74</v>
      </c>
      <c r="D20" s="25" t="s">
        <v>362</v>
      </c>
      <c r="E20" s="25" t="s">
        <v>16</v>
      </c>
      <c r="F20" s="25" t="s">
        <v>122</v>
      </c>
      <c r="G20" s="26" t="s">
        <v>363</v>
      </c>
      <c r="H20" s="26" t="s">
        <v>78</v>
      </c>
      <c r="I20" s="20" t="s">
        <v>364</v>
      </c>
      <c r="J20" s="20" t="s">
        <v>80</v>
      </c>
      <c r="K20" s="20"/>
    </row>
    <row r="21" spans="1:11" ht="79.5" customHeight="1" x14ac:dyDescent="0.15">
      <c r="A21" s="20" t="s">
        <v>165</v>
      </c>
      <c r="B21" s="20" t="s">
        <v>161</v>
      </c>
      <c r="C21" s="20" t="s">
        <v>74</v>
      </c>
      <c r="D21" s="25" t="s">
        <v>365</v>
      </c>
      <c r="E21" s="25" t="s">
        <v>16</v>
      </c>
      <c r="F21" s="25" t="s">
        <v>140</v>
      </c>
      <c r="G21" s="26" t="s">
        <v>366</v>
      </c>
      <c r="H21" s="26" t="s">
        <v>78</v>
      </c>
      <c r="I21" s="20" t="s">
        <v>367</v>
      </c>
      <c r="J21" s="20" t="s">
        <v>80</v>
      </c>
      <c r="K21" s="20"/>
    </row>
    <row r="22" spans="1:11" ht="79.5" customHeight="1" x14ac:dyDescent="0.15">
      <c r="A22" s="20" t="s">
        <v>169</v>
      </c>
      <c r="B22" s="20" t="s">
        <v>161</v>
      </c>
      <c r="C22" s="20" t="s">
        <v>74</v>
      </c>
      <c r="D22" s="25" t="s">
        <v>368</v>
      </c>
      <c r="E22" s="25" t="s">
        <v>16</v>
      </c>
      <c r="F22" s="25" t="s">
        <v>122</v>
      </c>
      <c r="G22" s="26" t="s">
        <v>369</v>
      </c>
      <c r="H22" s="26" t="s">
        <v>78</v>
      </c>
      <c r="I22" s="20" t="s">
        <v>370</v>
      </c>
      <c r="J22" s="20" t="s">
        <v>80</v>
      </c>
      <c r="K22" s="20"/>
    </row>
    <row r="23" spans="1:11" ht="79.5" customHeight="1" x14ac:dyDescent="0.15">
      <c r="A23" s="20" t="s">
        <v>173</v>
      </c>
      <c r="B23" s="20" t="s">
        <v>161</v>
      </c>
      <c r="C23" s="20" t="s">
        <v>74</v>
      </c>
      <c r="D23" s="25" t="s">
        <v>371</v>
      </c>
      <c r="E23" s="25" t="s">
        <v>16</v>
      </c>
      <c r="F23" s="25" t="s">
        <v>122</v>
      </c>
      <c r="G23" s="26" t="s">
        <v>372</v>
      </c>
      <c r="H23" s="26" t="s">
        <v>78</v>
      </c>
      <c r="I23" s="20" t="s">
        <v>373</v>
      </c>
      <c r="J23" s="20" t="s">
        <v>80</v>
      </c>
      <c r="K23" s="20"/>
    </row>
    <row r="24" spans="1:11" ht="79.5" customHeight="1" x14ac:dyDescent="0.15">
      <c r="A24" s="20" t="s">
        <v>178</v>
      </c>
      <c r="B24" s="20" t="s">
        <v>179</v>
      </c>
      <c r="C24" s="20" t="s">
        <v>74</v>
      </c>
      <c r="D24" s="25" t="s">
        <v>374</v>
      </c>
      <c r="E24" s="25" t="s">
        <v>16</v>
      </c>
      <c r="F24" s="25" t="s">
        <v>112</v>
      </c>
      <c r="G24" s="26" t="s">
        <v>375</v>
      </c>
      <c r="H24" s="26" t="s">
        <v>78</v>
      </c>
      <c r="I24" s="20" t="s">
        <v>376</v>
      </c>
      <c r="J24" s="20" t="s">
        <v>80</v>
      </c>
      <c r="K24" s="20"/>
    </row>
    <row r="25" spans="1:11" ht="79.5" customHeight="1" x14ac:dyDescent="0.15">
      <c r="A25" s="20" t="s">
        <v>183</v>
      </c>
      <c r="B25" s="20" t="s">
        <v>179</v>
      </c>
      <c r="C25" s="20" t="s">
        <v>74</v>
      </c>
      <c r="D25" s="25" t="s">
        <v>377</v>
      </c>
      <c r="E25" s="25" t="s">
        <v>16</v>
      </c>
      <c r="F25" s="25" t="s">
        <v>140</v>
      </c>
      <c r="G25" s="26" t="s">
        <v>378</v>
      </c>
      <c r="H25" s="26" t="s">
        <v>78</v>
      </c>
      <c r="I25" s="20" t="s">
        <v>379</v>
      </c>
      <c r="J25" s="20" t="s">
        <v>80</v>
      </c>
      <c r="K25" s="20"/>
    </row>
    <row r="26" spans="1:11" ht="79.5" customHeight="1" x14ac:dyDescent="0.15">
      <c r="A26" s="20" t="s">
        <v>187</v>
      </c>
      <c r="B26" s="20" t="s">
        <v>179</v>
      </c>
      <c r="C26" s="20" t="s">
        <v>74</v>
      </c>
      <c r="D26" s="25" t="s">
        <v>380</v>
      </c>
      <c r="E26" s="25" t="s">
        <v>16</v>
      </c>
      <c r="F26" s="25" t="s">
        <v>122</v>
      </c>
      <c r="G26" s="26" t="s">
        <v>381</v>
      </c>
      <c r="H26" s="26" t="s">
        <v>78</v>
      </c>
      <c r="I26" s="20" t="s">
        <v>382</v>
      </c>
      <c r="J26" s="20" t="s">
        <v>80</v>
      </c>
      <c r="K26" s="20"/>
    </row>
    <row r="27" spans="1:11" ht="79.5" customHeight="1" x14ac:dyDescent="0.15">
      <c r="A27" s="20" t="s">
        <v>191</v>
      </c>
      <c r="B27" s="20" t="s">
        <v>179</v>
      </c>
      <c r="C27" s="20" t="s">
        <v>74</v>
      </c>
      <c r="D27" s="25" t="s">
        <v>383</v>
      </c>
      <c r="E27" s="25" t="s">
        <v>16</v>
      </c>
      <c r="F27" s="25" t="s">
        <v>140</v>
      </c>
      <c r="G27" s="26" t="s">
        <v>384</v>
      </c>
      <c r="H27" s="26" t="s">
        <v>78</v>
      </c>
      <c r="I27" s="20" t="s">
        <v>385</v>
      </c>
      <c r="J27" s="20" t="s">
        <v>80</v>
      </c>
      <c r="K27" s="20"/>
    </row>
    <row r="28" spans="1:11" ht="79.5" customHeight="1" x14ac:dyDescent="0.15">
      <c r="A28" s="20" t="s">
        <v>195</v>
      </c>
      <c r="B28" s="20" t="s">
        <v>196</v>
      </c>
      <c r="C28" s="20" t="s">
        <v>74</v>
      </c>
      <c r="D28" s="25" t="s">
        <v>386</v>
      </c>
      <c r="E28" s="25" t="s">
        <v>16</v>
      </c>
      <c r="F28" s="25" t="s">
        <v>140</v>
      </c>
      <c r="G28" s="26" t="s">
        <v>387</v>
      </c>
      <c r="H28" s="26" t="s">
        <v>78</v>
      </c>
      <c r="I28" s="20" t="s">
        <v>388</v>
      </c>
      <c r="J28" s="20" t="s">
        <v>80</v>
      </c>
      <c r="K28" s="20"/>
    </row>
    <row r="29" spans="1:11" ht="79.5" customHeight="1" x14ac:dyDescent="0.15">
      <c r="A29" s="20" t="s">
        <v>201</v>
      </c>
      <c r="B29" s="20" t="s">
        <v>196</v>
      </c>
      <c r="C29" s="20" t="s">
        <v>74</v>
      </c>
      <c r="D29" s="25" t="s">
        <v>389</v>
      </c>
      <c r="E29" s="25" t="s">
        <v>16</v>
      </c>
      <c r="F29" s="25" t="s">
        <v>140</v>
      </c>
      <c r="G29" s="26" t="s">
        <v>390</v>
      </c>
      <c r="H29" s="26" t="s">
        <v>78</v>
      </c>
      <c r="I29" s="20" t="s">
        <v>391</v>
      </c>
      <c r="J29" s="20" t="s">
        <v>80</v>
      </c>
      <c r="K29" s="20"/>
    </row>
    <row r="30" spans="1:11" ht="79.5" customHeight="1" x14ac:dyDescent="0.15">
      <c r="A30" s="20" t="s">
        <v>205</v>
      </c>
      <c r="B30" s="20" t="s">
        <v>196</v>
      </c>
      <c r="C30" s="20" t="s">
        <v>74</v>
      </c>
      <c r="D30" s="25" t="s">
        <v>392</v>
      </c>
      <c r="E30" s="25" t="s">
        <v>16</v>
      </c>
      <c r="F30" s="25" t="s">
        <v>140</v>
      </c>
      <c r="G30" s="26" t="s">
        <v>393</v>
      </c>
      <c r="H30" s="26" t="s">
        <v>78</v>
      </c>
      <c r="I30" s="20" t="s">
        <v>394</v>
      </c>
      <c r="J30" s="20" t="s">
        <v>80</v>
      </c>
      <c r="K30" s="20"/>
    </row>
    <row r="31" spans="1:11" ht="79.5" customHeight="1" x14ac:dyDescent="0.15">
      <c r="A31" s="20" t="s">
        <v>209</v>
      </c>
      <c r="B31" s="20" t="s">
        <v>196</v>
      </c>
      <c r="C31" s="20" t="s">
        <v>74</v>
      </c>
      <c r="D31" s="25" t="s">
        <v>395</v>
      </c>
      <c r="E31" s="25" t="s">
        <v>16</v>
      </c>
      <c r="F31" s="25" t="s">
        <v>122</v>
      </c>
      <c r="G31" s="26" t="s">
        <v>396</v>
      </c>
      <c r="H31" s="26" t="s">
        <v>78</v>
      </c>
      <c r="I31" s="20" t="s">
        <v>397</v>
      </c>
      <c r="J31" s="20" t="s">
        <v>80</v>
      </c>
      <c r="K31" s="20"/>
    </row>
    <row r="32" spans="1:11" ht="79.5" customHeight="1" x14ac:dyDescent="0.15">
      <c r="A32" s="20" t="s">
        <v>213</v>
      </c>
      <c r="B32" s="20" t="s">
        <v>196</v>
      </c>
      <c r="C32" s="20" t="s">
        <v>74</v>
      </c>
      <c r="D32" s="25" t="s">
        <v>398</v>
      </c>
      <c r="E32" s="25" t="s">
        <v>16</v>
      </c>
      <c r="F32" s="25" t="s">
        <v>175</v>
      </c>
      <c r="G32" s="26" t="s">
        <v>399</v>
      </c>
      <c r="H32" s="26" t="s">
        <v>78</v>
      </c>
      <c r="I32" s="20" t="s">
        <v>400</v>
      </c>
      <c r="J32" s="20" t="s">
        <v>80</v>
      </c>
      <c r="K32" s="20"/>
    </row>
    <row r="33" spans="1:11" ht="79.5" customHeight="1" x14ac:dyDescent="0.15">
      <c r="A33" s="20" t="s">
        <v>218</v>
      </c>
      <c r="B33" s="20" t="s">
        <v>219</v>
      </c>
      <c r="C33" s="20" t="s">
        <v>74</v>
      </c>
      <c r="D33" s="25" t="s">
        <v>401</v>
      </c>
      <c r="E33" s="25" t="s">
        <v>16</v>
      </c>
      <c r="F33" s="25" t="s">
        <v>175</v>
      </c>
      <c r="G33" s="26" t="s">
        <v>402</v>
      </c>
      <c r="H33" s="26" t="s">
        <v>78</v>
      </c>
      <c r="I33" s="20" t="s">
        <v>403</v>
      </c>
      <c r="J33" s="20" t="s">
        <v>80</v>
      </c>
      <c r="K33" s="20"/>
    </row>
    <row r="34" spans="1:11" ht="79.5" customHeight="1" x14ac:dyDescent="0.15">
      <c r="A34" s="20" t="s">
        <v>223</v>
      </c>
      <c r="B34" s="20" t="s">
        <v>219</v>
      </c>
      <c r="C34" s="20" t="s">
        <v>74</v>
      </c>
      <c r="D34" s="25" t="s">
        <v>404</v>
      </c>
      <c r="E34" s="25" t="s">
        <v>16</v>
      </c>
      <c r="F34" s="25" t="s">
        <v>122</v>
      </c>
      <c r="G34" s="26" t="s">
        <v>405</v>
      </c>
      <c r="H34" s="26" t="s">
        <v>78</v>
      </c>
      <c r="I34" s="20" t="s">
        <v>406</v>
      </c>
      <c r="J34" s="20" t="s">
        <v>80</v>
      </c>
      <c r="K34" s="20"/>
    </row>
    <row r="35" spans="1:11" ht="79.5" customHeight="1" x14ac:dyDescent="0.15">
      <c r="A35" s="20" t="s">
        <v>227</v>
      </c>
      <c r="B35" s="20" t="s">
        <v>219</v>
      </c>
      <c r="C35" s="20" t="s">
        <v>74</v>
      </c>
      <c r="D35" s="25" t="s">
        <v>407</v>
      </c>
      <c r="E35" s="25" t="s">
        <v>16</v>
      </c>
      <c r="F35" s="25" t="s">
        <v>157</v>
      </c>
      <c r="G35" s="26" t="s">
        <v>408</v>
      </c>
      <c r="H35" s="26" t="s">
        <v>78</v>
      </c>
      <c r="I35" s="20" t="s">
        <v>409</v>
      </c>
      <c r="J35" s="20" t="s">
        <v>80</v>
      </c>
      <c r="K35" s="20"/>
    </row>
    <row r="36" spans="1:11" ht="79.5" customHeight="1" x14ac:dyDescent="0.15">
      <c r="A36" s="20" t="s">
        <v>231</v>
      </c>
      <c r="B36" s="20" t="s">
        <v>219</v>
      </c>
      <c r="C36" s="20" t="s">
        <v>74</v>
      </c>
      <c r="D36" s="25" t="s">
        <v>410</v>
      </c>
      <c r="E36" s="25" t="s">
        <v>16</v>
      </c>
      <c r="F36" s="25" t="s">
        <v>140</v>
      </c>
      <c r="G36" s="26" t="s">
        <v>411</v>
      </c>
      <c r="H36" s="26" t="s">
        <v>78</v>
      </c>
      <c r="I36" s="20" t="s">
        <v>412</v>
      </c>
      <c r="J36" s="20" t="s">
        <v>80</v>
      </c>
      <c r="K36" s="20"/>
    </row>
    <row r="37" spans="1:11" ht="79.5" customHeight="1" x14ac:dyDescent="0.15">
      <c r="A37" s="20" t="s">
        <v>235</v>
      </c>
      <c r="B37" s="20" t="s">
        <v>236</v>
      </c>
      <c r="C37" s="20" t="s">
        <v>74</v>
      </c>
      <c r="D37" s="25" t="s">
        <v>413</v>
      </c>
      <c r="E37" s="25" t="s">
        <v>16</v>
      </c>
      <c r="F37" s="25" t="s">
        <v>140</v>
      </c>
      <c r="G37" s="26" t="s">
        <v>414</v>
      </c>
      <c r="H37" s="26" t="s">
        <v>78</v>
      </c>
      <c r="I37" s="20" t="s">
        <v>415</v>
      </c>
      <c r="J37" s="20" t="s">
        <v>80</v>
      </c>
      <c r="K37" s="20"/>
    </row>
    <row r="38" spans="1:11" ht="79.5" customHeight="1" x14ac:dyDescent="0.15">
      <c r="A38" s="20" t="s">
        <v>240</v>
      </c>
      <c r="B38" s="20" t="s">
        <v>236</v>
      </c>
      <c r="C38" s="20" t="s">
        <v>74</v>
      </c>
      <c r="D38" s="25" t="s">
        <v>416</v>
      </c>
      <c r="E38" s="25" t="s">
        <v>16</v>
      </c>
      <c r="F38" s="25" t="s">
        <v>140</v>
      </c>
      <c r="G38" s="26" t="s">
        <v>417</v>
      </c>
      <c r="H38" s="26" t="s">
        <v>78</v>
      </c>
      <c r="I38" s="20" t="s">
        <v>418</v>
      </c>
      <c r="J38" s="20" t="s">
        <v>80</v>
      </c>
      <c r="K38" s="20"/>
    </row>
    <row r="39" spans="1:11" ht="79.5" customHeight="1" x14ac:dyDescent="0.15">
      <c r="A39" s="20" t="s">
        <v>245</v>
      </c>
      <c r="B39" s="20" t="s">
        <v>236</v>
      </c>
      <c r="C39" s="20" t="s">
        <v>74</v>
      </c>
      <c r="D39" s="25" t="s">
        <v>419</v>
      </c>
      <c r="E39" s="25" t="s">
        <v>16</v>
      </c>
      <c r="F39" s="25" t="s">
        <v>140</v>
      </c>
      <c r="G39" s="26" t="s">
        <v>420</v>
      </c>
      <c r="H39" s="26" t="s">
        <v>78</v>
      </c>
      <c r="I39" s="20" t="s">
        <v>421</v>
      </c>
      <c r="J39" s="20" t="s">
        <v>80</v>
      </c>
      <c r="K39" s="20"/>
    </row>
    <row r="40" spans="1:11" ht="79.5" customHeight="1" x14ac:dyDescent="0.15">
      <c r="A40" s="20" t="s">
        <v>249</v>
      </c>
      <c r="B40" s="20" t="s">
        <v>236</v>
      </c>
      <c r="C40" s="20" t="s">
        <v>74</v>
      </c>
      <c r="D40" s="25" t="s">
        <v>422</v>
      </c>
      <c r="E40" s="25" t="s">
        <v>16</v>
      </c>
      <c r="F40" s="25" t="s">
        <v>140</v>
      </c>
      <c r="G40" s="26" t="s">
        <v>423</v>
      </c>
      <c r="H40" s="26" t="s">
        <v>78</v>
      </c>
      <c r="I40" s="20" t="s">
        <v>424</v>
      </c>
      <c r="J40" s="20" t="s">
        <v>80</v>
      </c>
      <c r="K40" s="20"/>
    </row>
    <row r="41" spans="1:11" ht="79.5" customHeight="1" x14ac:dyDescent="0.15">
      <c r="A41" s="20" t="s">
        <v>253</v>
      </c>
      <c r="B41" s="20" t="s">
        <v>254</v>
      </c>
      <c r="C41" s="20" t="s">
        <v>74</v>
      </c>
      <c r="D41" s="25" t="s">
        <v>425</v>
      </c>
      <c r="E41" s="25" t="s">
        <v>16</v>
      </c>
      <c r="F41" s="25" t="s">
        <v>140</v>
      </c>
      <c r="G41" s="26" t="s">
        <v>426</v>
      </c>
      <c r="H41" s="26" t="s">
        <v>78</v>
      </c>
      <c r="I41" s="20" t="s">
        <v>427</v>
      </c>
      <c r="J41" s="20" t="s">
        <v>80</v>
      </c>
      <c r="K41" s="20"/>
    </row>
    <row r="42" spans="1:11" ht="79.5" customHeight="1" x14ac:dyDescent="0.15">
      <c r="A42" s="20" t="s">
        <v>258</v>
      </c>
      <c r="B42" s="20" t="s">
        <v>254</v>
      </c>
      <c r="C42" s="20" t="s">
        <v>74</v>
      </c>
      <c r="D42" s="25" t="s">
        <v>428</v>
      </c>
      <c r="E42" s="25" t="s">
        <v>16</v>
      </c>
      <c r="F42" s="25" t="s">
        <v>122</v>
      </c>
      <c r="G42" s="26" t="s">
        <v>429</v>
      </c>
      <c r="H42" s="26" t="s">
        <v>78</v>
      </c>
      <c r="I42" s="20" t="s">
        <v>430</v>
      </c>
      <c r="J42" s="20" t="s">
        <v>80</v>
      </c>
      <c r="K42" s="20"/>
    </row>
    <row r="43" spans="1:11" ht="79.5" customHeight="1" x14ac:dyDescent="0.15">
      <c r="A43" s="20" t="s">
        <v>262</v>
      </c>
      <c r="B43" s="20" t="s">
        <v>254</v>
      </c>
      <c r="C43" s="20" t="s">
        <v>74</v>
      </c>
      <c r="D43" s="25" t="s">
        <v>431</v>
      </c>
      <c r="E43" s="25" t="s">
        <v>16</v>
      </c>
      <c r="F43" s="25" t="s">
        <v>140</v>
      </c>
      <c r="G43" s="26" t="s">
        <v>432</v>
      </c>
      <c r="H43" s="26" t="s">
        <v>78</v>
      </c>
      <c r="I43" s="20" t="s">
        <v>433</v>
      </c>
      <c r="J43" s="20" t="s">
        <v>80</v>
      </c>
      <c r="K43" s="20"/>
    </row>
    <row r="44" spans="1:11" ht="79.5" customHeight="1" x14ac:dyDescent="0.15">
      <c r="A44" s="20" t="s">
        <v>266</v>
      </c>
      <c r="B44" s="20" t="s">
        <v>254</v>
      </c>
      <c r="C44" s="20" t="s">
        <v>74</v>
      </c>
      <c r="D44" s="25" t="s">
        <v>434</v>
      </c>
      <c r="E44" s="25" t="s">
        <v>16</v>
      </c>
      <c r="F44" s="25" t="s">
        <v>140</v>
      </c>
      <c r="G44" s="26" t="s">
        <v>435</v>
      </c>
      <c r="H44" s="26" t="s">
        <v>78</v>
      </c>
      <c r="I44" s="20" t="s">
        <v>436</v>
      </c>
      <c r="J44" s="20" t="s">
        <v>80</v>
      </c>
      <c r="K44" s="20"/>
    </row>
    <row r="45" spans="1:11" ht="79.5" customHeight="1" x14ac:dyDescent="0.15">
      <c r="A45" s="20" t="s">
        <v>270</v>
      </c>
      <c r="B45" s="20" t="s">
        <v>254</v>
      </c>
      <c r="C45" s="20" t="s">
        <v>74</v>
      </c>
      <c r="D45" s="25" t="s">
        <v>437</v>
      </c>
      <c r="E45" s="25" t="s">
        <v>16</v>
      </c>
      <c r="F45" s="25" t="s">
        <v>140</v>
      </c>
      <c r="G45" s="26" t="s">
        <v>438</v>
      </c>
      <c r="H45" s="26" t="s">
        <v>78</v>
      </c>
      <c r="I45" s="20" t="s">
        <v>439</v>
      </c>
      <c r="J45" s="20" t="s">
        <v>80</v>
      </c>
      <c r="K45" s="20"/>
    </row>
    <row r="46" spans="1:11" ht="79.5" customHeight="1" x14ac:dyDescent="0.15">
      <c r="A46" s="20" t="s">
        <v>274</v>
      </c>
      <c r="B46" s="20" t="s">
        <v>275</v>
      </c>
      <c r="C46" s="20" t="s">
        <v>74</v>
      </c>
      <c r="D46" s="25" t="s">
        <v>440</v>
      </c>
      <c r="E46" s="25" t="s">
        <v>16</v>
      </c>
      <c r="F46" s="25" t="s">
        <v>157</v>
      </c>
      <c r="G46" s="26" t="s">
        <v>441</v>
      </c>
      <c r="H46" s="26" t="s">
        <v>78</v>
      </c>
      <c r="I46" s="20" t="s">
        <v>442</v>
      </c>
      <c r="J46" s="20" t="s">
        <v>80</v>
      </c>
      <c r="K46" s="20"/>
    </row>
    <row r="47" spans="1:11" ht="79.5" customHeight="1" x14ac:dyDescent="0.15">
      <c r="A47" s="20" t="s">
        <v>279</v>
      </c>
      <c r="B47" s="20" t="s">
        <v>275</v>
      </c>
      <c r="C47" s="20" t="s">
        <v>74</v>
      </c>
      <c r="D47" s="25" t="s">
        <v>443</v>
      </c>
      <c r="E47" s="25" t="s">
        <v>16</v>
      </c>
      <c r="F47" s="25" t="s">
        <v>140</v>
      </c>
      <c r="G47" s="26" t="s">
        <v>444</v>
      </c>
      <c r="H47" s="26" t="s">
        <v>78</v>
      </c>
      <c r="I47" s="20" t="s">
        <v>445</v>
      </c>
      <c r="J47" s="20" t="s">
        <v>80</v>
      </c>
      <c r="K47" s="20"/>
    </row>
    <row r="48" spans="1:11" ht="79.5" customHeight="1" x14ac:dyDescent="0.15">
      <c r="A48" s="20" t="s">
        <v>283</v>
      </c>
      <c r="B48" s="20" t="s">
        <v>275</v>
      </c>
      <c r="C48" s="20" t="s">
        <v>74</v>
      </c>
      <c r="D48" s="25" t="s">
        <v>446</v>
      </c>
      <c r="E48" s="25" t="s">
        <v>16</v>
      </c>
      <c r="F48" s="25" t="s">
        <v>140</v>
      </c>
      <c r="G48" s="26" t="s">
        <v>447</v>
      </c>
      <c r="H48" s="26" t="s">
        <v>78</v>
      </c>
      <c r="I48" s="20" t="s">
        <v>448</v>
      </c>
      <c r="J48" s="20" t="s">
        <v>80</v>
      </c>
      <c r="K48" s="20"/>
    </row>
    <row r="49" spans="1:11" ht="79.5" customHeight="1" x14ac:dyDescent="0.15">
      <c r="A49" s="20" t="s">
        <v>287</v>
      </c>
      <c r="B49" s="20" t="s">
        <v>275</v>
      </c>
      <c r="C49" s="20" t="s">
        <v>74</v>
      </c>
      <c r="D49" s="25" t="s">
        <v>449</v>
      </c>
      <c r="E49" s="25" t="s">
        <v>16</v>
      </c>
      <c r="F49" s="25" t="s">
        <v>175</v>
      </c>
      <c r="G49" s="26" t="s">
        <v>450</v>
      </c>
      <c r="H49" s="26" t="s">
        <v>78</v>
      </c>
      <c r="I49" s="20" t="s">
        <v>451</v>
      </c>
      <c r="J49" s="20" t="s">
        <v>80</v>
      </c>
      <c r="K49" s="20"/>
    </row>
    <row r="50" spans="1:11" ht="79.5" customHeight="1" x14ac:dyDescent="0.15">
      <c r="A50" s="20" t="s">
        <v>291</v>
      </c>
      <c r="B50" s="20" t="s">
        <v>292</v>
      </c>
      <c r="C50" s="20" t="s">
        <v>74</v>
      </c>
      <c r="D50" s="25" t="s">
        <v>452</v>
      </c>
      <c r="E50" s="25" t="s">
        <v>16</v>
      </c>
      <c r="F50" s="25" t="s">
        <v>140</v>
      </c>
      <c r="G50" s="26" t="s">
        <v>453</v>
      </c>
      <c r="H50" s="26" t="s">
        <v>78</v>
      </c>
      <c r="I50" s="20" t="s">
        <v>454</v>
      </c>
      <c r="J50" s="20" t="s">
        <v>80</v>
      </c>
      <c r="K50" s="20"/>
    </row>
    <row r="51" spans="1:11" ht="79.5" customHeight="1" x14ac:dyDescent="0.15">
      <c r="A51" s="20" t="s">
        <v>296</v>
      </c>
      <c r="B51" s="20" t="s">
        <v>292</v>
      </c>
      <c r="C51" s="20" t="s">
        <v>74</v>
      </c>
      <c r="D51" s="25" t="s">
        <v>455</v>
      </c>
      <c r="E51" s="25" t="s">
        <v>16</v>
      </c>
      <c r="F51" s="25" t="s">
        <v>140</v>
      </c>
      <c r="G51" s="26" t="s">
        <v>456</v>
      </c>
      <c r="H51" s="26" t="s">
        <v>78</v>
      </c>
      <c r="I51" s="20" t="s">
        <v>457</v>
      </c>
      <c r="J51" s="20" t="s">
        <v>80</v>
      </c>
      <c r="K51" s="20"/>
    </row>
    <row r="52" spans="1:11" ht="79.5" customHeight="1" x14ac:dyDescent="0.15">
      <c r="A52" s="20" t="s">
        <v>300</v>
      </c>
      <c r="B52" s="20" t="s">
        <v>292</v>
      </c>
      <c r="C52" s="20" t="s">
        <v>74</v>
      </c>
      <c r="D52" s="25" t="s">
        <v>458</v>
      </c>
      <c r="E52" s="25" t="s">
        <v>16</v>
      </c>
      <c r="F52" s="25" t="s">
        <v>140</v>
      </c>
      <c r="G52" s="26" t="s">
        <v>459</v>
      </c>
      <c r="H52" s="26" t="s">
        <v>78</v>
      </c>
      <c r="I52" s="20" t="s">
        <v>303</v>
      </c>
      <c r="J52" s="20" t="s">
        <v>80</v>
      </c>
      <c r="K52" s="20"/>
    </row>
    <row r="53" spans="1:11" ht="79.5" customHeight="1" x14ac:dyDescent="0.15">
      <c r="A53" s="20" t="s">
        <v>304</v>
      </c>
      <c r="B53" s="20" t="s">
        <v>292</v>
      </c>
      <c r="C53" s="20" t="s">
        <v>74</v>
      </c>
      <c r="D53" s="25" t="s">
        <v>460</v>
      </c>
      <c r="E53" s="25" t="s">
        <v>16</v>
      </c>
      <c r="F53" s="25" t="s">
        <v>140</v>
      </c>
      <c r="G53" s="26" t="s">
        <v>461</v>
      </c>
      <c r="H53" s="26" t="s">
        <v>78</v>
      </c>
      <c r="I53" s="20" t="s">
        <v>462</v>
      </c>
      <c r="J53" s="20" t="s">
        <v>80</v>
      </c>
      <c r="K53" s="20"/>
    </row>
  </sheetData>
  <dataValidations count="1">
    <dataValidation type="list" allowBlank="1" sqref="J2:J53" xr:uid="{00000000-0002-0000-0300-000000000000}">
      <formula1>"⬜,🔄,✅,⏸️"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53"/>
  <sheetViews>
    <sheetView workbookViewId="0"/>
  </sheetViews>
  <sheetFormatPr baseColWidth="10" defaultColWidth="8.6640625" defaultRowHeight="13" x14ac:dyDescent="0.15"/>
  <cols>
    <col min="1" max="1" width="8" customWidth="1"/>
    <col min="2" max="2" width="5" customWidth="1"/>
    <col min="3" max="3" width="10" customWidth="1"/>
    <col min="4" max="4" width="45" customWidth="1"/>
    <col min="5" max="5" width="8" customWidth="1"/>
    <col min="6" max="6" width="50" customWidth="1"/>
    <col min="7" max="7" width="55" customWidth="1"/>
    <col min="8" max="8" width="8" customWidth="1"/>
    <col min="9" max="9" width="25" customWidth="1"/>
    <col min="10" max="10" width="8" customWidth="1"/>
    <col min="11" max="11" width="15" customWidth="1"/>
  </cols>
  <sheetData>
    <row r="1" spans="1:11" ht="30" x14ac:dyDescent="0.15">
      <c r="A1" s="24" t="s">
        <v>61</v>
      </c>
      <c r="B1" s="24" t="s">
        <v>62</v>
      </c>
      <c r="C1" s="24" t="s">
        <v>63</v>
      </c>
      <c r="D1" s="24" t="s">
        <v>64</v>
      </c>
      <c r="E1" s="24" t="s">
        <v>65</v>
      </c>
      <c r="F1" s="24" t="s">
        <v>66</v>
      </c>
      <c r="G1" s="24" t="s">
        <v>67</v>
      </c>
      <c r="H1" s="24" t="s">
        <v>68</v>
      </c>
      <c r="I1" s="24" t="s">
        <v>69</v>
      </c>
      <c r="J1" s="24" t="s">
        <v>70</v>
      </c>
      <c r="K1" s="24" t="s">
        <v>71</v>
      </c>
    </row>
    <row r="2" spans="1:11" ht="79.5" customHeight="1" x14ac:dyDescent="0.15">
      <c r="A2" s="20" t="s">
        <v>72</v>
      </c>
      <c r="B2" s="20" t="s">
        <v>73</v>
      </c>
      <c r="C2" s="20" t="s">
        <v>74</v>
      </c>
      <c r="D2" s="25" t="s">
        <v>463</v>
      </c>
      <c r="E2" s="25" t="s">
        <v>16</v>
      </c>
      <c r="F2" s="25" t="s">
        <v>175</v>
      </c>
      <c r="G2" s="26" t="s">
        <v>464</v>
      </c>
      <c r="H2" s="26" t="s">
        <v>78</v>
      </c>
      <c r="I2" s="20" t="s">
        <v>465</v>
      </c>
      <c r="J2" s="20" t="s">
        <v>80</v>
      </c>
      <c r="K2" s="20"/>
    </row>
    <row r="3" spans="1:11" ht="79.5" customHeight="1" x14ac:dyDescent="0.15">
      <c r="A3" s="20" t="s">
        <v>81</v>
      </c>
      <c r="B3" s="20" t="s">
        <v>73</v>
      </c>
      <c r="C3" s="20" t="s">
        <v>74</v>
      </c>
      <c r="D3" s="25" t="s">
        <v>466</v>
      </c>
      <c r="E3" s="25" t="s">
        <v>16</v>
      </c>
      <c r="F3" s="25" t="s">
        <v>175</v>
      </c>
      <c r="G3" s="26" t="s">
        <v>467</v>
      </c>
      <c r="H3" s="26" t="s">
        <v>78</v>
      </c>
      <c r="I3" s="20" t="s">
        <v>468</v>
      </c>
      <c r="J3" s="20" t="s">
        <v>80</v>
      </c>
      <c r="K3" s="20"/>
    </row>
    <row r="4" spans="1:11" ht="79.5" customHeight="1" x14ac:dyDescent="0.15">
      <c r="A4" s="20" t="s">
        <v>86</v>
      </c>
      <c r="B4" s="20" t="s">
        <v>73</v>
      </c>
      <c r="C4" s="20" t="s">
        <v>74</v>
      </c>
      <c r="D4" s="25" t="s">
        <v>469</v>
      </c>
      <c r="E4" s="25" t="s">
        <v>16</v>
      </c>
      <c r="F4" s="25" t="s">
        <v>175</v>
      </c>
      <c r="G4" s="26" t="s">
        <v>470</v>
      </c>
      <c r="H4" s="26" t="s">
        <v>78</v>
      </c>
      <c r="I4" s="20" t="s">
        <v>471</v>
      </c>
      <c r="J4" s="20" t="s">
        <v>80</v>
      </c>
      <c r="K4" s="20"/>
    </row>
    <row r="5" spans="1:11" ht="79.5" customHeight="1" x14ac:dyDescent="0.15">
      <c r="A5" s="20" t="s">
        <v>91</v>
      </c>
      <c r="B5" s="20" t="s">
        <v>73</v>
      </c>
      <c r="C5" s="20" t="s">
        <v>74</v>
      </c>
      <c r="D5" s="25" t="s">
        <v>472</v>
      </c>
      <c r="E5" s="25" t="s">
        <v>16</v>
      </c>
      <c r="F5" s="25" t="s">
        <v>175</v>
      </c>
      <c r="G5" s="26" t="s">
        <v>473</v>
      </c>
      <c r="H5" s="26" t="s">
        <v>78</v>
      </c>
      <c r="I5" s="20" t="s">
        <v>474</v>
      </c>
      <c r="J5" s="20" t="s">
        <v>80</v>
      </c>
      <c r="K5" s="20"/>
    </row>
    <row r="6" spans="1:11" ht="79.5" customHeight="1" x14ac:dyDescent="0.15">
      <c r="A6" s="20" t="s">
        <v>95</v>
      </c>
      <c r="B6" s="20" t="s">
        <v>73</v>
      </c>
      <c r="C6" s="20" t="s">
        <v>74</v>
      </c>
      <c r="D6" s="25" t="s">
        <v>475</v>
      </c>
      <c r="E6" s="25" t="s">
        <v>16</v>
      </c>
      <c r="F6" s="25" t="s">
        <v>175</v>
      </c>
      <c r="G6" s="26" t="s">
        <v>476</v>
      </c>
      <c r="H6" s="26" t="s">
        <v>78</v>
      </c>
      <c r="I6" s="20" t="s">
        <v>477</v>
      </c>
      <c r="J6" s="20" t="s">
        <v>80</v>
      </c>
      <c r="K6" s="20"/>
    </row>
    <row r="7" spans="1:11" ht="79.5" customHeight="1" x14ac:dyDescent="0.15">
      <c r="A7" s="20" t="s">
        <v>99</v>
      </c>
      <c r="B7" s="20" t="s">
        <v>100</v>
      </c>
      <c r="C7" s="20" t="s">
        <v>74</v>
      </c>
      <c r="D7" s="25" t="s">
        <v>478</v>
      </c>
      <c r="E7" s="25" t="s">
        <v>16</v>
      </c>
      <c r="F7" s="25" t="s">
        <v>175</v>
      </c>
      <c r="G7" s="26" t="s">
        <v>479</v>
      </c>
      <c r="H7" s="26" t="s">
        <v>78</v>
      </c>
      <c r="I7" s="20" t="s">
        <v>480</v>
      </c>
      <c r="J7" s="20" t="s">
        <v>80</v>
      </c>
      <c r="K7" s="20"/>
    </row>
    <row r="8" spans="1:11" ht="79.5" customHeight="1" x14ac:dyDescent="0.15">
      <c r="A8" s="20" t="s">
        <v>105</v>
      </c>
      <c r="B8" s="20" t="s">
        <v>100</v>
      </c>
      <c r="C8" s="20" t="s">
        <v>74</v>
      </c>
      <c r="D8" s="25" t="s">
        <v>481</v>
      </c>
      <c r="E8" s="25" t="s">
        <v>16</v>
      </c>
      <c r="F8" s="25" t="s">
        <v>175</v>
      </c>
      <c r="G8" s="26" t="s">
        <v>482</v>
      </c>
      <c r="H8" s="26" t="s">
        <v>78</v>
      </c>
      <c r="I8" s="20" t="s">
        <v>483</v>
      </c>
      <c r="J8" s="20" t="s">
        <v>80</v>
      </c>
      <c r="K8" s="20"/>
    </row>
    <row r="9" spans="1:11" ht="79.5" customHeight="1" x14ac:dyDescent="0.15">
      <c r="A9" s="20" t="s">
        <v>110</v>
      </c>
      <c r="B9" s="20" t="s">
        <v>100</v>
      </c>
      <c r="C9" s="20" t="s">
        <v>74</v>
      </c>
      <c r="D9" s="25" t="s">
        <v>484</v>
      </c>
      <c r="E9" s="25" t="s">
        <v>16</v>
      </c>
      <c r="F9" s="25" t="s">
        <v>112</v>
      </c>
      <c r="G9" s="26" t="s">
        <v>485</v>
      </c>
      <c r="H9" s="26" t="s">
        <v>78</v>
      </c>
      <c r="I9" s="20" t="s">
        <v>486</v>
      </c>
      <c r="J9" s="20" t="s">
        <v>80</v>
      </c>
      <c r="K9" s="20"/>
    </row>
    <row r="10" spans="1:11" ht="79.5" customHeight="1" x14ac:dyDescent="0.15">
      <c r="A10" s="20" t="s">
        <v>115</v>
      </c>
      <c r="B10" s="20" t="s">
        <v>100</v>
      </c>
      <c r="C10" s="20" t="s">
        <v>74</v>
      </c>
      <c r="D10" s="25" t="s">
        <v>487</v>
      </c>
      <c r="E10" s="25" t="s">
        <v>16</v>
      </c>
      <c r="F10" s="25" t="s">
        <v>122</v>
      </c>
      <c r="G10" s="26" t="s">
        <v>488</v>
      </c>
      <c r="H10" s="26" t="s">
        <v>78</v>
      </c>
      <c r="I10" s="20" t="s">
        <v>489</v>
      </c>
      <c r="J10" s="20" t="s">
        <v>80</v>
      </c>
      <c r="K10" s="20"/>
    </row>
    <row r="11" spans="1:11" ht="79.5" customHeight="1" x14ac:dyDescent="0.15">
      <c r="A11" s="20" t="s">
        <v>119</v>
      </c>
      <c r="B11" s="20" t="s">
        <v>120</v>
      </c>
      <c r="C11" s="20" t="s">
        <v>74</v>
      </c>
      <c r="D11" s="25" t="s">
        <v>490</v>
      </c>
      <c r="E11" s="25" t="s">
        <v>16</v>
      </c>
      <c r="F11" s="25" t="s">
        <v>198</v>
      </c>
      <c r="G11" s="26" t="s">
        <v>491</v>
      </c>
      <c r="H11" s="26" t="s">
        <v>78</v>
      </c>
      <c r="I11" s="20" t="s">
        <v>492</v>
      </c>
      <c r="J11" s="20" t="s">
        <v>80</v>
      </c>
      <c r="K11" s="20"/>
    </row>
    <row r="12" spans="1:11" ht="79.5" customHeight="1" x14ac:dyDescent="0.15">
      <c r="A12" s="20" t="s">
        <v>125</v>
      </c>
      <c r="B12" s="20" t="s">
        <v>120</v>
      </c>
      <c r="C12" s="20" t="s">
        <v>74</v>
      </c>
      <c r="D12" s="25" t="s">
        <v>493</v>
      </c>
      <c r="E12" s="25" t="s">
        <v>16</v>
      </c>
      <c r="F12" s="25" t="s">
        <v>175</v>
      </c>
      <c r="G12" s="26" t="s">
        <v>494</v>
      </c>
      <c r="H12" s="26" t="s">
        <v>78</v>
      </c>
      <c r="I12" s="20" t="s">
        <v>495</v>
      </c>
      <c r="J12" s="20" t="s">
        <v>80</v>
      </c>
      <c r="K12" s="20"/>
    </row>
    <row r="13" spans="1:11" ht="79.5" customHeight="1" x14ac:dyDescent="0.15">
      <c r="A13" s="20" t="s">
        <v>129</v>
      </c>
      <c r="B13" s="20" t="s">
        <v>120</v>
      </c>
      <c r="C13" s="20" t="s">
        <v>74</v>
      </c>
      <c r="D13" s="25" t="s">
        <v>496</v>
      </c>
      <c r="E13" s="25" t="s">
        <v>16</v>
      </c>
      <c r="F13" s="25" t="s">
        <v>198</v>
      </c>
      <c r="G13" s="26" t="s">
        <v>497</v>
      </c>
      <c r="H13" s="26" t="s">
        <v>78</v>
      </c>
      <c r="I13" s="20" t="s">
        <v>498</v>
      </c>
      <c r="J13" s="20" t="s">
        <v>80</v>
      </c>
      <c r="K13" s="20"/>
    </row>
    <row r="14" spans="1:11" ht="79.5" customHeight="1" x14ac:dyDescent="0.15">
      <c r="A14" s="20" t="s">
        <v>133</v>
      </c>
      <c r="B14" s="20" t="s">
        <v>120</v>
      </c>
      <c r="C14" s="20" t="s">
        <v>74</v>
      </c>
      <c r="D14" s="25" t="s">
        <v>499</v>
      </c>
      <c r="E14" s="25" t="s">
        <v>16</v>
      </c>
      <c r="F14" s="25" t="s">
        <v>500</v>
      </c>
      <c r="G14" s="26" t="s">
        <v>501</v>
      </c>
      <c r="H14" s="26" t="s">
        <v>78</v>
      </c>
      <c r="I14" s="20" t="s">
        <v>502</v>
      </c>
      <c r="J14" s="20" t="s">
        <v>80</v>
      </c>
      <c r="K14" s="20"/>
    </row>
    <row r="15" spans="1:11" ht="79.5" customHeight="1" x14ac:dyDescent="0.15">
      <c r="A15" s="20" t="s">
        <v>137</v>
      </c>
      <c r="B15" s="20" t="s">
        <v>138</v>
      </c>
      <c r="C15" s="20" t="s">
        <v>74</v>
      </c>
      <c r="D15" s="25" t="s">
        <v>503</v>
      </c>
      <c r="E15" s="25" t="s">
        <v>16</v>
      </c>
      <c r="F15" s="25" t="s">
        <v>175</v>
      </c>
      <c r="G15" s="26" t="s">
        <v>504</v>
      </c>
      <c r="H15" s="26" t="s">
        <v>78</v>
      </c>
      <c r="I15" s="20" t="s">
        <v>505</v>
      </c>
      <c r="J15" s="20" t="s">
        <v>80</v>
      </c>
      <c r="K15" s="20"/>
    </row>
    <row r="16" spans="1:11" ht="79.5" customHeight="1" x14ac:dyDescent="0.15">
      <c r="A16" s="20" t="s">
        <v>143</v>
      </c>
      <c r="B16" s="20" t="s">
        <v>138</v>
      </c>
      <c r="C16" s="20" t="s">
        <v>74</v>
      </c>
      <c r="D16" s="25" t="s">
        <v>506</v>
      </c>
      <c r="E16" s="25" t="s">
        <v>16</v>
      </c>
      <c r="F16" s="25" t="s">
        <v>175</v>
      </c>
      <c r="G16" s="26" t="s">
        <v>507</v>
      </c>
      <c r="H16" s="26" t="s">
        <v>78</v>
      </c>
      <c r="I16" s="20" t="s">
        <v>508</v>
      </c>
      <c r="J16" s="20" t="s">
        <v>80</v>
      </c>
      <c r="K16" s="20"/>
    </row>
    <row r="17" spans="1:11" ht="79.5" customHeight="1" x14ac:dyDescent="0.15">
      <c r="A17" s="20" t="s">
        <v>147</v>
      </c>
      <c r="B17" s="20" t="s">
        <v>138</v>
      </c>
      <c r="C17" s="20" t="s">
        <v>74</v>
      </c>
      <c r="D17" s="25" t="s">
        <v>509</v>
      </c>
      <c r="E17" s="25" t="s">
        <v>16</v>
      </c>
      <c r="F17" s="25" t="s">
        <v>175</v>
      </c>
      <c r="G17" s="26" t="s">
        <v>510</v>
      </c>
      <c r="H17" s="26" t="s">
        <v>78</v>
      </c>
      <c r="I17" s="20" t="s">
        <v>511</v>
      </c>
      <c r="J17" s="20" t="s">
        <v>80</v>
      </c>
      <c r="K17" s="20"/>
    </row>
    <row r="18" spans="1:11" ht="79.5" customHeight="1" x14ac:dyDescent="0.15">
      <c r="A18" s="20" t="s">
        <v>151</v>
      </c>
      <c r="B18" s="20" t="s">
        <v>138</v>
      </c>
      <c r="C18" s="20" t="s">
        <v>74</v>
      </c>
      <c r="D18" s="25" t="s">
        <v>512</v>
      </c>
      <c r="E18" s="25" t="s">
        <v>16</v>
      </c>
      <c r="F18" s="25" t="s">
        <v>175</v>
      </c>
      <c r="G18" s="26" t="s">
        <v>513</v>
      </c>
      <c r="H18" s="26" t="s">
        <v>78</v>
      </c>
      <c r="I18" s="20" t="s">
        <v>514</v>
      </c>
      <c r="J18" s="20" t="s">
        <v>80</v>
      </c>
      <c r="K18" s="20"/>
    </row>
    <row r="19" spans="1:11" ht="79.5" customHeight="1" x14ac:dyDescent="0.15">
      <c r="A19" s="20" t="s">
        <v>155</v>
      </c>
      <c r="B19" s="20" t="s">
        <v>138</v>
      </c>
      <c r="C19" s="20" t="s">
        <v>74</v>
      </c>
      <c r="D19" s="25" t="s">
        <v>515</v>
      </c>
      <c r="E19" s="25" t="s">
        <v>16</v>
      </c>
      <c r="F19" s="25" t="s">
        <v>175</v>
      </c>
      <c r="G19" s="26" t="s">
        <v>516</v>
      </c>
      <c r="H19" s="26" t="s">
        <v>78</v>
      </c>
      <c r="I19" s="20" t="s">
        <v>517</v>
      </c>
      <c r="J19" s="20" t="s">
        <v>80</v>
      </c>
      <c r="K19" s="20"/>
    </row>
    <row r="20" spans="1:11" ht="79.5" customHeight="1" x14ac:dyDescent="0.15">
      <c r="A20" s="20" t="s">
        <v>160</v>
      </c>
      <c r="B20" s="20" t="s">
        <v>161</v>
      </c>
      <c r="C20" s="20" t="s">
        <v>74</v>
      </c>
      <c r="D20" s="25" t="s">
        <v>518</v>
      </c>
      <c r="E20" s="25" t="s">
        <v>16</v>
      </c>
      <c r="F20" s="25" t="s">
        <v>175</v>
      </c>
      <c r="G20" s="26" t="s">
        <v>519</v>
      </c>
      <c r="H20" s="26" t="s">
        <v>78</v>
      </c>
      <c r="I20" s="20" t="s">
        <v>520</v>
      </c>
      <c r="J20" s="20" t="s">
        <v>80</v>
      </c>
      <c r="K20" s="20"/>
    </row>
    <row r="21" spans="1:11" ht="79.5" customHeight="1" x14ac:dyDescent="0.15">
      <c r="A21" s="20" t="s">
        <v>165</v>
      </c>
      <c r="B21" s="20" t="s">
        <v>161</v>
      </c>
      <c r="C21" s="20" t="s">
        <v>74</v>
      </c>
      <c r="D21" s="25" t="s">
        <v>521</v>
      </c>
      <c r="E21" s="25" t="s">
        <v>16</v>
      </c>
      <c r="F21" s="25" t="s">
        <v>175</v>
      </c>
      <c r="G21" s="26" t="s">
        <v>522</v>
      </c>
      <c r="H21" s="26" t="s">
        <v>78</v>
      </c>
      <c r="I21" s="20" t="s">
        <v>523</v>
      </c>
      <c r="J21" s="20" t="s">
        <v>80</v>
      </c>
      <c r="K21" s="20"/>
    </row>
    <row r="22" spans="1:11" ht="79.5" customHeight="1" x14ac:dyDescent="0.15">
      <c r="A22" s="20" t="s">
        <v>169</v>
      </c>
      <c r="B22" s="20" t="s">
        <v>161</v>
      </c>
      <c r="C22" s="20" t="s">
        <v>74</v>
      </c>
      <c r="D22" s="25" t="s">
        <v>524</v>
      </c>
      <c r="E22" s="25" t="s">
        <v>16</v>
      </c>
      <c r="F22" s="25" t="s">
        <v>175</v>
      </c>
      <c r="G22" s="26" t="s">
        <v>525</v>
      </c>
      <c r="H22" s="26" t="s">
        <v>78</v>
      </c>
      <c r="I22" s="20" t="s">
        <v>526</v>
      </c>
      <c r="J22" s="20" t="s">
        <v>80</v>
      </c>
      <c r="K22" s="20"/>
    </row>
    <row r="23" spans="1:11" ht="79.5" customHeight="1" x14ac:dyDescent="0.15">
      <c r="A23" s="20" t="s">
        <v>173</v>
      </c>
      <c r="B23" s="20" t="s">
        <v>161</v>
      </c>
      <c r="C23" s="20" t="s">
        <v>74</v>
      </c>
      <c r="D23" s="25" t="s">
        <v>527</v>
      </c>
      <c r="E23" s="25" t="s">
        <v>16</v>
      </c>
      <c r="F23" s="25" t="s">
        <v>175</v>
      </c>
      <c r="G23" s="26" t="s">
        <v>528</v>
      </c>
      <c r="H23" s="26" t="s">
        <v>78</v>
      </c>
      <c r="I23" s="20" t="s">
        <v>529</v>
      </c>
      <c r="J23" s="20" t="s">
        <v>80</v>
      </c>
      <c r="K23" s="20"/>
    </row>
    <row r="24" spans="1:11" ht="79.5" customHeight="1" x14ac:dyDescent="0.15">
      <c r="A24" s="20" t="s">
        <v>178</v>
      </c>
      <c r="B24" s="20" t="s">
        <v>179</v>
      </c>
      <c r="C24" s="20" t="s">
        <v>74</v>
      </c>
      <c r="D24" s="25" t="s">
        <v>530</v>
      </c>
      <c r="E24" s="25" t="s">
        <v>16</v>
      </c>
      <c r="F24" s="25" t="s">
        <v>102</v>
      </c>
      <c r="G24" s="26" t="s">
        <v>531</v>
      </c>
      <c r="H24" s="26" t="s">
        <v>78</v>
      </c>
      <c r="I24" s="20" t="s">
        <v>532</v>
      </c>
      <c r="J24" s="20" t="s">
        <v>80</v>
      </c>
      <c r="K24" s="20"/>
    </row>
    <row r="25" spans="1:11" ht="79.5" customHeight="1" x14ac:dyDescent="0.15">
      <c r="A25" s="20" t="s">
        <v>183</v>
      </c>
      <c r="B25" s="20" t="s">
        <v>179</v>
      </c>
      <c r="C25" s="20" t="s">
        <v>74</v>
      </c>
      <c r="D25" s="25" t="s">
        <v>533</v>
      </c>
      <c r="E25" s="25" t="s">
        <v>16</v>
      </c>
      <c r="F25" s="25" t="s">
        <v>198</v>
      </c>
      <c r="G25" s="26" t="s">
        <v>534</v>
      </c>
      <c r="H25" s="26" t="s">
        <v>78</v>
      </c>
      <c r="I25" s="20" t="s">
        <v>535</v>
      </c>
      <c r="J25" s="20" t="s">
        <v>80</v>
      </c>
      <c r="K25" s="20"/>
    </row>
    <row r="26" spans="1:11" ht="79.5" customHeight="1" x14ac:dyDescent="0.15">
      <c r="A26" s="20" t="s">
        <v>187</v>
      </c>
      <c r="B26" s="20" t="s">
        <v>179</v>
      </c>
      <c r="C26" s="20" t="s">
        <v>74</v>
      </c>
      <c r="D26" s="25" t="s">
        <v>536</v>
      </c>
      <c r="E26" s="25" t="s">
        <v>16</v>
      </c>
      <c r="F26" s="25" t="s">
        <v>175</v>
      </c>
      <c r="G26" s="26" t="s">
        <v>537</v>
      </c>
      <c r="H26" s="26" t="s">
        <v>78</v>
      </c>
      <c r="I26" s="20" t="s">
        <v>538</v>
      </c>
      <c r="J26" s="20" t="s">
        <v>80</v>
      </c>
      <c r="K26" s="20"/>
    </row>
    <row r="27" spans="1:11" ht="79.5" customHeight="1" x14ac:dyDescent="0.15">
      <c r="A27" s="20" t="s">
        <v>191</v>
      </c>
      <c r="B27" s="20" t="s">
        <v>179</v>
      </c>
      <c r="C27" s="20" t="s">
        <v>74</v>
      </c>
      <c r="D27" s="25" t="s">
        <v>539</v>
      </c>
      <c r="E27" s="25" t="s">
        <v>16</v>
      </c>
      <c r="F27" s="25" t="s">
        <v>500</v>
      </c>
      <c r="G27" s="26" t="s">
        <v>540</v>
      </c>
      <c r="H27" s="26" t="s">
        <v>78</v>
      </c>
      <c r="I27" s="20" t="s">
        <v>541</v>
      </c>
      <c r="J27" s="20" t="s">
        <v>80</v>
      </c>
      <c r="K27" s="20"/>
    </row>
    <row r="28" spans="1:11" ht="79.5" customHeight="1" x14ac:dyDescent="0.15">
      <c r="A28" s="20" t="s">
        <v>195</v>
      </c>
      <c r="B28" s="20" t="s">
        <v>196</v>
      </c>
      <c r="C28" s="20" t="s">
        <v>74</v>
      </c>
      <c r="D28" s="25" t="s">
        <v>542</v>
      </c>
      <c r="E28" s="25" t="s">
        <v>16</v>
      </c>
      <c r="F28" s="25" t="s">
        <v>175</v>
      </c>
      <c r="G28" s="26" t="s">
        <v>543</v>
      </c>
      <c r="H28" s="26" t="s">
        <v>78</v>
      </c>
      <c r="I28" s="20" t="s">
        <v>544</v>
      </c>
      <c r="J28" s="20" t="s">
        <v>80</v>
      </c>
      <c r="K28" s="20"/>
    </row>
    <row r="29" spans="1:11" ht="79.5" customHeight="1" x14ac:dyDescent="0.15">
      <c r="A29" s="20" t="s">
        <v>201</v>
      </c>
      <c r="B29" s="20" t="s">
        <v>196</v>
      </c>
      <c r="C29" s="20" t="s">
        <v>74</v>
      </c>
      <c r="D29" s="25" t="s">
        <v>545</v>
      </c>
      <c r="E29" s="25" t="s">
        <v>16</v>
      </c>
      <c r="F29" s="25" t="s">
        <v>175</v>
      </c>
      <c r="G29" s="26" t="s">
        <v>546</v>
      </c>
      <c r="H29" s="26" t="s">
        <v>78</v>
      </c>
      <c r="I29" s="20" t="s">
        <v>547</v>
      </c>
      <c r="J29" s="20" t="s">
        <v>80</v>
      </c>
      <c r="K29" s="20"/>
    </row>
    <row r="30" spans="1:11" ht="79.5" customHeight="1" x14ac:dyDescent="0.15">
      <c r="A30" s="20" t="s">
        <v>205</v>
      </c>
      <c r="B30" s="20" t="s">
        <v>196</v>
      </c>
      <c r="C30" s="20" t="s">
        <v>74</v>
      </c>
      <c r="D30" s="25" t="s">
        <v>548</v>
      </c>
      <c r="E30" s="25" t="s">
        <v>16</v>
      </c>
      <c r="F30" s="25" t="s">
        <v>140</v>
      </c>
      <c r="G30" s="26" t="s">
        <v>549</v>
      </c>
      <c r="H30" s="26" t="s">
        <v>78</v>
      </c>
      <c r="I30" s="20" t="s">
        <v>550</v>
      </c>
      <c r="J30" s="20" t="s">
        <v>80</v>
      </c>
      <c r="K30" s="20"/>
    </row>
    <row r="31" spans="1:11" ht="79.5" customHeight="1" x14ac:dyDescent="0.15">
      <c r="A31" s="20" t="s">
        <v>209</v>
      </c>
      <c r="B31" s="20" t="s">
        <v>196</v>
      </c>
      <c r="C31" s="20" t="s">
        <v>74</v>
      </c>
      <c r="D31" s="25" t="s">
        <v>551</v>
      </c>
      <c r="E31" s="25" t="s">
        <v>16</v>
      </c>
      <c r="F31" s="25" t="s">
        <v>198</v>
      </c>
      <c r="G31" s="26" t="s">
        <v>552</v>
      </c>
      <c r="H31" s="26" t="s">
        <v>78</v>
      </c>
      <c r="I31" s="20" t="s">
        <v>553</v>
      </c>
      <c r="J31" s="20" t="s">
        <v>80</v>
      </c>
      <c r="K31" s="20"/>
    </row>
    <row r="32" spans="1:11" ht="79.5" customHeight="1" x14ac:dyDescent="0.15">
      <c r="A32" s="20" t="s">
        <v>213</v>
      </c>
      <c r="B32" s="20" t="s">
        <v>196</v>
      </c>
      <c r="C32" s="20" t="s">
        <v>74</v>
      </c>
      <c r="D32" s="25" t="s">
        <v>554</v>
      </c>
      <c r="E32" s="25" t="s">
        <v>16</v>
      </c>
      <c r="F32" s="25" t="s">
        <v>112</v>
      </c>
      <c r="G32" s="26" t="s">
        <v>555</v>
      </c>
      <c r="H32" s="26" t="s">
        <v>78</v>
      </c>
      <c r="I32" s="20" t="s">
        <v>556</v>
      </c>
      <c r="J32" s="20" t="s">
        <v>80</v>
      </c>
      <c r="K32" s="20"/>
    </row>
    <row r="33" spans="1:11" ht="79.5" customHeight="1" x14ac:dyDescent="0.15">
      <c r="A33" s="20" t="s">
        <v>218</v>
      </c>
      <c r="B33" s="20" t="s">
        <v>219</v>
      </c>
      <c r="C33" s="20" t="s">
        <v>74</v>
      </c>
      <c r="D33" s="25" t="s">
        <v>557</v>
      </c>
      <c r="E33" s="25" t="s">
        <v>16</v>
      </c>
      <c r="F33" s="25" t="s">
        <v>112</v>
      </c>
      <c r="G33" s="26" t="s">
        <v>558</v>
      </c>
      <c r="H33" s="26" t="s">
        <v>78</v>
      </c>
      <c r="I33" s="20" t="s">
        <v>559</v>
      </c>
      <c r="J33" s="20" t="s">
        <v>80</v>
      </c>
      <c r="K33" s="20"/>
    </row>
    <row r="34" spans="1:11" ht="79.5" customHeight="1" x14ac:dyDescent="0.15">
      <c r="A34" s="20" t="s">
        <v>223</v>
      </c>
      <c r="B34" s="20" t="s">
        <v>219</v>
      </c>
      <c r="C34" s="20" t="s">
        <v>74</v>
      </c>
      <c r="D34" s="25" t="s">
        <v>560</v>
      </c>
      <c r="E34" s="25" t="s">
        <v>16</v>
      </c>
      <c r="F34" s="25" t="s">
        <v>198</v>
      </c>
      <c r="G34" s="26" t="s">
        <v>561</v>
      </c>
      <c r="H34" s="26" t="s">
        <v>78</v>
      </c>
      <c r="I34" s="20" t="s">
        <v>562</v>
      </c>
      <c r="J34" s="20" t="s">
        <v>80</v>
      </c>
      <c r="K34" s="20"/>
    </row>
    <row r="35" spans="1:11" ht="79.5" customHeight="1" x14ac:dyDescent="0.15">
      <c r="A35" s="20" t="s">
        <v>227</v>
      </c>
      <c r="B35" s="20" t="s">
        <v>219</v>
      </c>
      <c r="C35" s="20" t="s">
        <v>74</v>
      </c>
      <c r="D35" s="25" t="s">
        <v>563</v>
      </c>
      <c r="E35" s="25" t="s">
        <v>16</v>
      </c>
      <c r="F35" s="25" t="s">
        <v>175</v>
      </c>
      <c r="G35" s="26" t="s">
        <v>564</v>
      </c>
      <c r="H35" s="26" t="s">
        <v>78</v>
      </c>
      <c r="I35" s="20" t="s">
        <v>565</v>
      </c>
      <c r="J35" s="20" t="s">
        <v>80</v>
      </c>
      <c r="K35" s="20"/>
    </row>
    <row r="36" spans="1:11" ht="79.5" customHeight="1" x14ac:dyDescent="0.15">
      <c r="A36" s="20" t="s">
        <v>231</v>
      </c>
      <c r="B36" s="20" t="s">
        <v>219</v>
      </c>
      <c r="C36" s="20" t="s">
        <v>74</v>
      </c>
      <c r="D36" s="25" t="s">
        <v>566</v>
      </c>
      <c r="E36" s="25" t="s">
        <v>16</v>
      </c>
      <c r="F36" s="25" t="s">
        <v>175</v>
      </c>
      <c r="G36" s="26" t="s">
        <v>567</v>
      </c>
      <c r="H36" s="26" t="s">
        <v>78</v>
      </c>
      <c r="I36" s="20" t="s">
        <v>568</v>
      </c>
      <c r="J36" s="20" t="s">
        <v>80</v>
      </c>
      <c r="K36" s="20"/>
    </row>
    <row r="37" spans="1:11" ht="79.5" customHeight="1" x14ac:dyDescent="0.15">
      <c r="A37" s="20" t="s">
        <v>235</v>
      </c>
      <c r="B37" s="20" t="s">
        <v>236</v>
      </c>
      <c r="C37" s="20" t="s">
        <v>74</v>
      </c>
      <c r="D37" s="25" t="s">
        <v>569</v>
      </c>
      <c r="E37" s="25" t="s">
        <v>16</v>
      </c>
      <c r="F37" s="25" t="s">
        <v>122</v>
      </c>
      <c r="G37" s="26" t="s">
        <v>570</v>
      </c>
      <c r="H37" s="26" t="s">
        <v>78</v>
      </c>
      <c r="I37" s="20" t="s">
        <v>571</v>
      </c>
      <c r="J37" s="20" t="s">
        <v>80</v>
      </c>
      <c r="K37" s="20"/>
    </row>
    <row r="38" spans="1:11" ht="79.5" customHeight="1" x14ac:dyDescent="0.15">
      <c r="A38" s="20" t="s">
        <v>240</v>
      </c>
      <c r="B38" s="20" t="s">
        <v>236</v>
      </c>
      <c r="C38" s="20" t="s">
        <v>74</v>
      </c>
      <c r="D38" s="25" t="s">
        <v>572</v>
      </c>
      <c r="E38" s="25" t="s">
        <v>16</v>
      </c>
      <c r="F38" s="25" t="s">
        <v>198</v>
      </c>
      <c r="G38" s="26" t="s">
        <v>573</v>
      </c>
      <c r="H38" s="26" t="s">
        <v>78</v>
      </c>
      <c r="I38" s="20" t="s">
        <v>574</v>
      </c>
      <c r="J38" s="20" t="s">
        <v>80</v>
      </c>
      <c r="K38" s="20"/>
    </row>
    <row r="39" spans="1:11" ht="79.5" customHeight="1" x14ac:dyDescent="0.15">
      <c r="A39" s="20" t="s">
        <v>245</v>
      </c>
      <c r="B39" s="20" t="s">
        <v>236</v>
      </c>
      <c r="C39" s="20" t="s">
        <v>74</v>
      </c>
      <c r="D39" s="25" t="s">
        <v>575</v>
      </c>
      <c r="E39" s="25" t="s">
        <v>16</v>
      </c>
      <c r="F39" s="25" t="s">
        <v>175</v>
      </c>
      <c r="G39" s="26" t="s">
        <v>576</v>
      </c>
      <c r="H39" s="26" t="s">
        <v>78</v>
      </c>
      <c r="I39" s="20" t="s">
        <v>577</v>
      </c>
      <c r="J39" s="20" t="s">
        <v>80</v>
      </c>
      <c r="K39" s="20"/>
    </row>
    <row r="40" spans="1:11" ht="79.5" customHeight="1" x14ac:dyDescent="0.15">
      <c r="A40" s="20" t="s">
        <v>249</v>
      </c>
      <c r="B40" s="20" t="s">
        <v>236</v>
      </c>
      <c r="C40" s="20" t="s">
        <v>74</v>
      </c>
      <c r="D40" s="25" t="s">
        <v>578</v>
      </c>
      <c r="E40" s="25" t="s">
        <v>16</v>
      </c>
      <c r="F40" s="25" t="s">
        <v>500</v>
      </c>
      <c r="G40" s="26" t="s">
        <v>579</v>
      </c>
      <c r="H40" s="26" t="s">
        <v>78</v>
      </c>
      <c r="I40" s="20" t="s">
        <v>580</v>
      </c>
      <c r="J40" s="20" t="s">
        <v>80</v>
      </c>
      <c r="K40" s="20"/>
    </row>
    <row r="41" spans="1:11" ht="79.5" customHeight="1" x14ac:dyDescent="0.15">
      <c r="A41" s="20" t="s">
        <v>253</v>
      </c>
      <c r="B41" s="20" t="s">
        <v>254</v>
      </c>
      <c r="C41" s="20" t="s">
        <v>74</v>
      </c>
      <c r="D41" s="25" t="s">
        <v>581</v>
      </c>
      <c r="E41" s="25" t="s">
        <v>16</v>
      </c>
      <c r="F41" s="25" t="s">
        <v>500</v>
      </c>
      <c r="G41" s="26" t="s">
        <v>582</v>
      </c>
      <c r="H41" s="26" t="s">
        <v>78</v>
      </c>
      <c r="I41" s="20" t="s">
        <v>583</v>
      </c>
      <c r="J41" s="20" t="s">
        <v>80</v>
      </c>
      <c r="K41" s="20"/>
    </row>
    <row r="42" spans="1:11" ht="79.5" customHeight="1" x14ac:dyDescent="0.15">
      <c r="A42" s="20" t="s">
        <v>258</v>
      </c>
      <c r="B42" s="20" t="s">
        <v>254</v>
      </c>
      <c r="C42" s="20" t="s">
        <v>74</v>
      </c>
      <c r="D42" s="25" t="s">
        <v>584</v>
      </c>
      <c r="E42" s="25" t="s">
        <v>16</v>
      </c>
      <c r="F42" s="25" t="s">
        <v>102</v>
      </c>
      <c r="G42" s="26" t="s">
        <v>585</v>
      </c>
      <c r="H42" s="26" t="s">
        <v>78</v>
      </c>
      <c r="I42" s="20" t="s">
        <v>586</v>
      </c>
      <c r="J42" s="20" t="s">
        <v>80</v>
      </c>
      <c r="K42" s="20"/>
    </row>
    <row r="43" spans="1:11" ht="79.5" customHeight="1" x14ac:dyDescent="0.15">
      <c r="A43" s="20" t="s">
        <v>262</v>
      </c>
      <c r="B43" s="20" t="s">
        <v>254</v>
      </c>
      <c r="C43" s="20" t="s">
        <v>74</v>
      </c>
      <c r="D43" s="25" t="s">
        <v>587</v>
      </c>
      <c r="E43" s="25" t="s">
        <v>16</v>
      </c>
      <c r="F43" s="25" t="s">
        <v>500</v>
      </c>
      <c r="G43" s="26" t="s">
        <v>588</v>
      </c>
      <c r="H43" s="26" t="s">
        <v>78</v>
      </c>
      <c r="I43" s="20" t="s">
        <v>589</v>
      </c>
      <c r="J43" s="20" t="s">
        <v>80</v>
      </c>
      <c r="K43" s="20"/>
    </row>
    <row r="44" spans="1:11" ht="79.5" customHeight="1" x14ac:dyDescent="0.15">
      <c r="A44" s="20" t="s">
        <v>266</v>
      </c>
      <c r="B44" s="20" t="s">
        <v>254</v>
      </c>
      <c r="C44" s="20" t="s">
        <v>74</v>
      </c>
      <c r="D44" s="25" t="s">
        <v>590</v>
      </c>
      <c r="E44" s="25" t="s">
        <v>16</v>
      </c>
      <c r="F44" s="25" t="s">
        <v>500</v>
      </c>
      <c r="G44" s="26" t="s">
        <v>591</v>
      </c>
      <c r="H44" s="26" t="s">
        <v>78</v>
      </c>
      <c r="I44" s="20" t="s">
        <v>592</v>
      </c>
      <c r="J44" s="20" t="s">
        <v>80</v>
      </c>
      <c r="K44" s="20"/>
    </row>
    <row r="45" spans="1:11" ht="79.5" customHeight="1" x14ac:dyDescent="0.15">
      <c r="A45" s="20" t="s">
        <v>270</v>
      </c>
      <c r="B45" s="20" t="s">
        <v>254</v>
      </c>
      <c r="C45" s="20" t="s">
        <v>74</v>
      </c>
      <c r="D45" s="25" t="s">
        <v>593</v>
      </c>
      <c r="E45" s="25" t="s">
        <v>16</v>
      </c>
      <c r="F45" s="25" t="s">
        <v>198</v>
      </c>
      <c r="G45" s="26" t="s">
        <v>594</v>
      </c>
      <c r="H45" s="26" t="s">
        <v>78</v>
      </c>
      <c r="I45" s="20" t="s">
        <v>595</v>
      </c>
      <c r="J45" s="20" t="s">
        <v>80</v>
      </c>
      <c r="K45" s="20"/>
    </row>
    <row r="46" spans="1:11" ht="79.5" customHeight="1" x14ac:dyDescent="0.15">
      <c r="A46" s="20" t="s">
        <v>274</v>
      </c>
      <c r="B46" s="20" t="s">
        <v>275</v>
      </c>
      <c r="C46" s="20" t="s">
        <v>74</v>
      </c>
      <c r="D46" s="25" t="s">
        <v>596</v>
      </c>
      <c r="E46" s="25" t="s">
        <v>16</v>
      </c>
      <c r="F46" s="25" t="s">
        <v>500</v>
      </c>
      <c r="G46" s="26" t="s">
        <v>597</v>
      </c>
      <c r="H46" s="26" t="s">
        <v>78</v>
      </c>
      <c r="I46" s="20" t="s">
        <v>598</v>
      </c>
      <c r="J46" s="20" t="s">
        <v>80</v>
      </c>
      <c r="K46" s="20"/>
    </row>
    <row r="47" spans="1:11" ht="79.5" customHeight="1" x14ac:dyDescent="0.15">
      <c r="A47" s="20" t="s">
        <v>279</v>
      </c>
      <c r="B47" s="20" t="s">
        <v>275</v>
      </c>
      <c r="C47" s="20" t="s">
        <v>74</v>
      </c>
      <c r="D47" s="25" t="s">
        <v>599</v>
      </c>
      <c r="E47" s="25" t="s">
        <v>16</v>
      </c>
      <c r="F47" s="25" t="s">
        <v>600</v>
      </c>
      <c r="G47" s="26" t="s">
        <v>601</v>
      </c>
      <c r="H47" s="26" t="s">
        <v>78</v>
      </c>
      <c r="I47" s="20" t="s">
        <v>448</v>
      </c>
      <c r="J47" s="20" t="s">
        <v>80</v>
      </c>
      <c r="K47" s="20"/>
    </row>
    <row r="48" spans="1:11" ht="79.5" customHeight="1" x14ac:dyDescent="0.15">
      <c r="A48" s="20" t="s">
        <v>283</v>
      </c>
      <c r="B48" s="20" t="s">
        <v>275</v>
      </c>
      <c r="C48" s="20" t="s">
        <v>74</v>
      </c>
      <c r="D48" s="25" t="s">
        <v>602</v>
      </c>
      <c r="E48" s="25" t="s">
        <v>16</v>
      </c>
      <c r="F48" s="25" t="s">
        <v>198</v>
      </c>
      <c r="G48" s="26" t="s">
        <v>603</v>
      </c>
      <c r="H48" s="26" t="s">
        <v>78</v>
      </c>
      <c r="I48" s="20" t="s">
        <v>604</v>
      </c>
      <c r="J48" s="20" t="s">
        <v>80</v>
      </c>
      <c r="K48" s="20"/>
    </row>
    <row r="49" spans="1:11" ht="79.5" customHeight="1" x14ac:dyDescent="0.15">
      <c r="A49" s="20" t="s">
        <v>287</v>
      </c>
      <c r="B49" s="20" t="s">
        <v>275</v>
      </c>
      <c r="C49" s="20" t="s">
        <v>74</v>
      </c>
      <c r="D49" s="25" t="s">
        <v>605</v>
      </c>
      <c r="E49" s="25" t="s">
        <v>16</v>
      </c>
      <c r="F49" s="25" t="s">
        <v>122</v>
      </c>
      <c r="G49" s="26" t="s">
        <v>606</v>
      </c>
      <c r="H49" s="26" t="s">
        <v>78</v>
      </c>
      <c r="I49" s="20" t="s">
        <v>607</v>
      </c>
      <c r="J49" s="20" t="s">
        <v>80</v>
      </c>
      <c r="K49" s="20"/>
    </row>
    <row r="50" spans="1:11" ht="79.5" customHeight="1" x14ac:dyDescent="0.15">
      <c r="A50" s="20" t="s">
        <v>291</v>
      </c>
      <c r="B50" s="20" t="s">
        <v>292</v>
      </c>
      <c r="C50" s="20" t="s">
        <v>74</v>
      </c>
      <c r="D50" s="25" t="s">
        <v>608</v>
      </c>
      <c r="E50" s="25" t="s">
        <v>16</v>
      </c>
      <c r="F50" s="25" t="s">
        <v>500</v>
      </c>
      <c r="G50" s="26" t="s">
        <v>609</v>
      </c>
      <c r="H50" s="26" t="s">
        <v>78</v>
      </c>
      <c r="I50" s="20" t="s">
        <v>610</v>
      </c>
      <c r="J50" s="20" t="s">
        <v>80</v>
      </c>
      <c r="K50" s="20"/>
    </row>
    <row r="51" spans="1:11" ht="79.5" customHeight="1" x14ac:dyDescent="0.15">
      <c r="A51" s="20" t="s">
        <v>296</v>
      </c>
      <c r="B51" s="20" t="s">
        <v>292</v>
      </c>
      <c r="C51" s="20" t="s">
        <v>74</v>
      </c>
      <c r="D51" s="25" t="s">
        <v>611</v>
      </c>
      <c r="E51" s="25" t="s">
        <v>16</v>
      </c>
      <c r="F51" s="25" t="s">
        <v>500</v>
      </c>
      <c r="G51" s="26" t="s">
        <v>612</v>
      </c>
      <c r="H51" s="26" t="s">
        <v>78</v>
      </c>
      <c r="I51" s="20" t="s">
        <v>613</v>
      </c>
      <c r="J51" s="20" t="s">
        <v>80</v>
      </c>
      <c r="K51" s="20"/>
    </row>
    <row r="52" spans="1:11" ht="79.5" customHeight="1" x14ac:dyDescent="0.15">
      <c r="A52" s="20" t="s">
        <v>300</v>
      </c>
      <c r="B52" s="20" t="s">
        <v>292</v>
      </c>
      <c r="C52" s="20" t="s">
        <v>74</v>
      </c>
      <c r="D52" s="25" t="s">
        <v>614</v>
      </c>
      <c r="E52" s="25" t="s">
        <v>16</v>
      </c>
      <c r="F52" s="25" t="s">
        <v>500</v>
      </c>
      <c r="G52" s="26" t="s">
        <v>615</v>
      </c>
      <c r="H52" s="26" t="s">
        <v>78</v>
      </c>
      <c r="I52" s="20" t="s">
        <v>303</v>
      </c>
      <c r="J52" s="20" t="s">
        <v>80</v>
      </c>
      <c r="K52" s="20"/>
    </row>
    <row r="53" spans="1:11" ht="79.5" customHeight="1" x14ac:dyDescent="0.15">
      <c r="A53" s="20" t="s">
        <v>304</v>
      </c>
      <c r="B53" s="20" t="s">
        <v>292</v>
      </c>
      <c r="C53" s="20" t="s">
        <v>74</v>
      </c>
      <c r="D53" s="25" t="s">
        <v>460</v>
      </c>
      <c r="E53" s="25" t="s">
        <v>16</v>
      </c>
      <c r="F53" s="25" t="s">
        <v>500</v>
      </c>
      <c r="G53" s="26" t="s">
        <v>616</v>
      </c>
      <c r="H53" s="26" t="s">
        <v>78</v>
      </c>
      <c r="I53" s="20" t="s">
        <v>462</v>
      </c>
      <c r="J53" s="20" t="s">
        <v>80</v>
      </c>
      <c r="K53" s="20"/>
    </row>
  </sheetData>
  <dataValidations count="1">
    <dataValidation type="list" allowBlank="1" sqref="J2:J53" xr:uid="{00000000-0002-0000-0400-000000000000}">
      <formula1>"⬜,🔄,✅,⏸️"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3"/>
  <sheetViews>
    <sheetView workbookViewId="0"/>
  </sheetViews>
  <sheetFormatPr baseColWidth="10" defaultColWidth="8.6640625" defaultRowHeight="13" x14ac:dyDescent="0.15"/>
  <cols>
    <col min="1" max="1" width="8" customWidth="1"/>
    <col min="2" max="2" width="5" customWidth="1"/>
    <col min="3" max="3" width="10" customWidth="1"/>
    <col min="4" max="4" width="45" customWidth="1"/>
    <col min="5" max="5" width="8" customWidth="1"/>
    <col min="6" max="6" width="50" customWidth="1"/>
    <col min="7" max="7" width="55" customWidth="1"/>
    <col min="8" max="8" width="8" customWidth="1"/>
    <col min="9" max="9" width="25" customWidth="1"/>
    <col min="10" max="10" width="8" customWidth="1"/>
    <col min="11" max="11" width="15" customWidth="1"/>
  </cols>
  <sheetData>
    <row r="1" spans="1:11" ht="30" x14ac:dyDescent="0.15">
      <c r="A1" s="24" t="s">
        <v>61</v>
      </c>
      <c r="B1" s="24" t="s">
        <v>62</v>
      </c>
      <c r="C1" s="24" t="s">
        <v>63</v>
      </c>
      <c r="D1" s="24" t="s">
        <v>64</v>
      </c>
      <c r="E1" s="24" t="s">
        <v>65</v>
      </c>
      <c r="F1" s="24" t="s">
        <v>66</v>
      </c>
      <c r="G1" s="24" t="s">
        <v>67</v>
      </c>
      <c r="H1" s="24" t="s">
        <v>68</v>
      </c>
      <c r="I1" s="24" t="s">
        <v>69</v>
      </c>
      <c r="J1" s="24" t="s">
        <v>70</v>
      </c>
      <c r="K1" s="24" t="s">
        <v>71</v>
      </c>
    </row>
    <row r="2" spans="1:11" ht="79.5" customHeight="1" x14ac:dyDescent="0.15">
      <c r="A2" s="20" t="s">
        <v>72</v>
      </c>
      <c r="B2" s="20" t="s">
        <v>73</v>
      </c>
      <c r="C2" s="20" t="s">
        <v>74</v>
      </c>
      <c r="D2" s="25" t="s">
        <v>617</v>
      </c>
      <c r="E2" s="25" t="s">
        <v>16</v>
      </c>
      <c r="F2" s="25" t="s">
        <v>618</v>
      </c>
      <c r="G2" s="26" t="s">
        <v>619</v>
      </c>
      <c r="H2" s="26" t="s">
        <v>78</v>
      </c>
      <c r="I2" s="20" t="s">
        <v>620</v>
      </c>
      <c r="J2" s="20" t="s">
        <v>80</v>
      </c>
      <c r="K2" s="20"/>
    </row>
    <row r="3" spans="1:11" ht="79.5" customHeight="1" x14ac:dyDescent="0.15">
      <c r="A3" s="20" t="s">
        <v>81</v>
      </c>
      <c r="B3" s="20" t="s">
        <v>73</v>
      </c>
      <c r="C3" s="20" t="s">
        <v>74</v>
      </c>
      <c r="D3" s="25" t="s">
        <v>621</v>
      </c>
      <c r="E3" s="25" t="s">
        <v>16</v>
      </c>
      <c r="F3" s="25" t="s">
        <v>618</v>
      </c>
      <c r="G3" s="26" t="s">
        <v>622</v>
      </c>
      <c r="H3" s="26" t="s">
        <v>78</v>
      </c>
      <c r="I3" s="20" t="s">
        <v>623</v>
      </c>
      <c r="J3" s="20" t="s">
        <v>80</v>
      </c>
      <c r="K3" s="20"/>
    </row>
    <row r="4" spans="1:11" ht="79.5" customHeight="1" x14ac:dyDescent="0.15">
      <c r="A4" s="20" t="s">
        <v>86</v>
      </c>
      <c r="B4" s="20" t="s">
        <v>73</v>
      </c>
      <c r="C4" s="20" t="s">
        <v>74</v>
      </c>
      <c r="D4" s="25" t="s">
        <v>624</v>
      </c>
      <c r="E4" s="25" t="s">
        <v>16</v>
      </c>
      <c r="F4" s="25" t="s">
        <v>618</v>
      </c>
      <c r="G4" s="26" t="s">
        <v>625</v>
      </c>
      <c r="H4" s="26" t="s">
        <v>78</v>
      </c>
      <c r="I4" s="20" t="s">
        <v>626</v>
      </c>
      <c r="J4" s="20" t="s">
        <v>80</v>
      </c>
      <c r="K4" s="20"/>
    </row>
    <row r="5" spans="1:11" ht="79.5" customHeight="1" x14ac:dyDescent="0.15">
      <c r="A5" s="20" t="s">
        <v>91</v>
      </c>
      <c r="B5" s="20" t="s">
        <v>73</v>
      </c>
      <c r="C5" s="20" t="s">
        <v>74</v>
      </c>
      <c r="D5" s="25" t="s">
        <v>627</v>
      </c>
      <c r="E5" s="25" t="s">
        <v>16</v>
      </c>
      <c r="F5" s="25" t="s">
        <v>618</v>
      </c>
      <c r="G5" s="26" t="s">
        <v>628</v>
      </c>
      <c r="H5" s="26" t="s">
        <v>78</v>
      </c>
      <c r="I5" s="20" t="s">
        <v>629</v>
      </c>
      <c r="J5" s="20" t="s">
        <v>80</v>
      </c>
      <c r="K5" s="20"/>
    </row>
    <row r="6" spans="1:11" ht="79.5" customHeight="1" x14ac:dyDescent="0.15">
      <c r="A6" s="20" t="s">
        <v>95</v>
      </c>
      <c r="B6" s="20" t="s">
        <v>73</v>
      </c>
      <c r="C6" s="20" t="s">
        <v>74</v>
      </c>
      <c r="D6" s="25" t="s">
        <v>630</v>
      </c>
      <c r="E6" s="25" t="s">
        <v>16</v>
      </c>
      <c r="F6" s="25" t="s">
        <v>618</v>
      </c>
      <c r="G6" s="26" t="s">
        <v>631</v>
      </c>
      <c r="H6" s="26" t="s">
        <v>78</v>
      </c>
      <c r="I6" s="20" t="s">
        <v>632</v>
      </c>
      <c r="J6" s="20" t="s">
        <v>80</v>
      </c>
      <c r="K6" s="20"/>
    </row>
    <row r="7" spans="1:11" ht="79.5" customHeight="1" x14ac:dyDescent="0.15">
      <c r="A7" s="20" t="s">
        <v>99</v>
      </c>
      <c r="B7" s="20" t="s">
        <v>100</v>
      </c>
      <c r="C7" s="20" t="s">
        <v>74</v>
      </c>
      <c r="D7" s="25" t="s">
        <v>633</v>
      </c>
      <c r="E7" s="25" t="s">
        <v>16</v>
      </c>
      <c r="F7" s="25" t="s">
        <v>634</v>
      </c>
      <c r="G7" s="26" t="s">
        <v>635</v>
      </c>
      <c r="H7" s="26" t="s">
        <v>78</v>
      </c>
      <c r="I7" s="20" t="s">
        <v>636</v>
      </c>
      <c r="J7" s="20" t="s">
        <v>80</v>
      </c>
      <c r="K7" s="20"/>
    </row>
    <row r="8" spans="1:11" ht="79.5" customHeight="1" x14ac:dyDescent="0.15">
      <c r="A8" s="20" t="s">
        <v>105</v>
      </c>
      <c r="B8" s="20" t="s">
        <v>100</v>
      </c>
      <c r="C8" s="20" t="s">
        <v>74</v>
      </c>
      <c r="D8" s="25" t="s">
        <v>637</v>
      </c>
      <c r="E8" s="25" t="s">
        <v>16</v>
      </c>
      <c r="F8" s="25" t="s">
        <v>634</v>
      </c>
      <c r="G8" s="26" t="s">
        <v>638</v>
      </c>
      <c r="H8" s="26" t="s">
        <v>78</v>
      </c>
      <c r="I8" s="20" t="s">
        <v>639</v>
      </c>
      <c r="J8" s="20" t="s">
        <v>80</v>
      </c>
      <c r="K8" s="20"/>
    </row>
    <row r="9" spans="1:11" ht="79.5" customHeight="1" x14ac:dyDescent="0.15">
      <c r="A9" s="20" t="s">
        <v>110</v>
      </c>
      <c r="B9" s="20" t="s">
        <v>100</v>
      </c>
      <c r="C9" s="20" t="s">
        <v>74</v>
      </c>
      <c r="D9" s="25" t="s">
        <v>640</v>
      </c>
      <c r="E9" s="25" t="s">
        <v>16</v>
      </c>
      <c r="F9" s="25" t="s">
        <v>618</v>
      </c>
      <c r="G9" s="26" t="s">
        <v>641</v>
      </c>
      <c r="H9" s="26" t="s">
        <v>78</v>
      </c>
      <c r="I9" s="20" t="s">
        <v>642</v>
      </c>
      <c r="J9" s="20" t="s">
        <v>80</v>
      </c>
      <c r="K9" s="20"/>
    </row>
    <row r="10" spans="1:11" ht="79.5" customHeight="1" x14ac:dyDescent="0.15">
      <c r="A10" s="20" t="s">
        <v>115</v>
      </c>
      <c r="B10" s="20" t="s">
        <v>100</v>
      </c>
      <c r="C10" s="20" t="s">
        <v>74</v>
      </c>
      <c r="D10" s="25" t="s">
        <v>643</v>
      </c>
      <c r="E10" s="25" t="s">
        <v>16</v>
      </c>
      <c r="F10" s="25" t="s">
        <v>618</v>
      </c>
      <c r="G10" s="26" t="s">
        <v>644</v>
      </c>
      <c r="H10" s="26" t="s">
        <v>78</v>
      </c>
      <c r="I10" s="20" t="s">
        <v>645</v>
      </c>
      <c r="J10" s="20" t="s">
        <v>80</v>
      </c>
      <c r="K10" s="20"/>
    </row>
    <row r="11" spans="1:11" ht="79.5" customHeight="1" x14ac:dyDescent="0.15">
      <c r="A11" s="20" t="s">
        <v>119</v>
      </c>
      <c r="B11" s="20" t="s">
        <v>120</v>
      </c>
      <c r="C11" s="20" t="s">
        <v>74</v>
      </c>
      <c r="D11" s="25" t="s">
        <v>646</v>
      </c>
      <c r="E11" s="25" t="s">
        <v>16</v>
      </c>
      <c r="F11" s="25" t="s">
        <v>107</v>
      </c>
      <c r="G11" s="26" t="s">
        <v>647</v>
      </c>
      <c r="H11" s="26" t="s">
        <v>78</v>
      </c>
      <c r="I11" s="20" t="s">
        <v>648</v>
      </c>
      <c r="J11" s="20" t="s">
        <v>80</v>
      </c>
      <c r="K11" s="20"/>
    </row>
    <row r="12" spans="1:11" ht="79.5" customHeight="1" x14ac:dyDescent="0.15">
      <c r="A12" s="20" t="s">
        <v>125</v>
      </c>
      <c r="B12" s="20" t="s">
        <v>120</v>
      </c>
      <c r="C12" s="20" t="s">
        <v>74</v>
      </c>
      <c r="D12" s="25" t="s">
        <v>649</v>
      </c>
      <c r="E12" s="25" t="s">
        <v>16</v>
      </c>
      <c r="F12" s="25" t="s">
        <v>140</v>
      </c>
      <c r="G12" s="26" t="s">
        <v>650</v>
      </c>
      <c r="H12" s="26" t="s">
        <v>78</v>
      </c>
      <c r="I12" s="20" t="s">
        <v>651</v>
      </c>
      <c r="J12" s="20" t="s">
        <v>80</v>
      </c>
      <c r="K12" s="20"/>
    </row>
    <row r="13" spans="1:11" ht="79.5" customHeight="1" x14ac:dyDescent="0.15">
      <c r="A13" s="20" t="s">
        <v>129</v>
      </c>
      <c r="B13" s="20" t="s">
        <v>120</v>
      </c>
      <c r="C13" s="20" t="s">
        <v>74</v>
      </c>
      <c r="D13" s="25" t="s">
        <v>652</v>
      </c>
      <c r="E13" s="25" t="s">
        <v>16</v>
      </c>
      <c r="F13" s="25" t="s">
        <v>634</v>
      </c>
      <c r="G13" s="26" t="s">
        <v>653</v>
      </c>
      <c r="H13" s="26" t="s">
        <v>78</v>
      </c>
      <c r="I13" s="20" t="s">
        <v>654</v>
      </c>
      <c r="J13" s="20" t="s">
        <v>80</v>
      </c>
      <c r="K13" s="20"/>
    </row>
    <row r="14" spans="1:11" ht="79.5" customHeight="1" x14ac:dyDescent="0.15">
      <c r="A14" s="20" t="s">
        <v>133</v>
      </c>
      <c r="B14" s="20" t="s">
        <v>120</v>
      </c>
      <c r="C14" s="20" t="s">
        <v>74</v>
      </c>
      <c r="D14" s="25" t="s">
        <v>655</v>
      </c>
      <c r="E14" s="25" t="s">
        <v>16</v>
      </c>
      <c r="F14" s="25" t="s">
        <v>656</v>
      </c>
      <c r="G14" s="26" t="s">
        <v>657</v>
      </c>
      <c r="H14" s="26" t="s">
        <v>78</v>
      </c>
      <c r="I14" s="20" t="s">
        <v>658</v>
      </c>
      <c r="J14" s="20" t="s">
        <v>80</v>
      </c>
      <c r="K14" s="20"/>
    </row>
    <row r="15" spans="1:11" ht="79.5" customHeight="1" x14ac:dyDescent="0.15">
      <c r="A15" s="20" t="s">
        <v>137</v>
      </c>
      <c r="B15" s="20" t="s">
        <v>138</v>
      </c>
      <c r="C15" s="20" t="s">
        <v>74</v>
      </c>
      <c r="D15" s="25" t="s">
        <v>659</v>
      </c>
      <c r="E15" s="25" t="s">
        <v>16</v>
      </c>
      <c r="F15" s="25" t="s">
        <v>215</v>
      </c>
      <c r="G15" s="26" t="s">
        <v>660</v>
      </c>
      <c r="H15" s="26" t="s">
        <v>78</v>
      </c>
      <c r="I15" s="20" t="s">
        <v>661</v>
      </c>
      <c r="J15" s="20" t="s">
        <v>80</v>
      </c>
      <c r="K15" s="20"/>
    </row>
    <row r="16" spans="1:11" ht="79.5" customHeight="1" x14ac:dyDescent="0.15">
      <c r="A16" s="20" t="s">
        <v>143</v>
      </c>
      <c r="B16" s="20" t="s">
        <v>138</v>
      </c>
      <c r="C16" s="20" t="s">
        <v>74</v>
      </c>
      <c r="D16" s="25" t="s">
        <v>662</v>
      </c>
      <c r="E16" s="25" t="s">
        <v>16</v>
      </c>
      <c r="F16" s="25" t="s">
        <v>618</v>
      </c>
      <c r="G16" s="26" t="s">
        <v>663</v>
      </c>
      <c r="H16" s="26" t="s">
        <v>78</v>
      </c>
      <c r="I16" s="20" t="s">
        <v>664</v>
      </c>
      <c r="J16" s="20" t="s">
        <v>80</v>
      </c>
      <c r="K16" s="20"/>
    </row>
    <row r="17" spans="1:11" ht="79.5" customHeight="1" x14ac:dyDescent="0.15">
      <c r="A17" s="20" t="s">
        <v>147</v>
      </c>
      <c r="B17" s="20" t="s">
        <v>138</v>
      </c>
      <c r="C17" s="20" t="s">
        <v>74</v>
      </c>
      <c r="D17" s="25" t="s">
        <v>665</v>
      </c>
      <c r="E17" s="25" t="s">
        <v>16</v>
      </c>
      <c r="F17" s="25" t="s">
        <v>122</v>
      </c>
      <c r="G17" s="26" t="s">
        <v>666</v>
      </c>
      <c r="H17" s="26" t="s">
        <v>78</v>
      </c>
      <c r="I17" s="20" t="s">
        <v>667</v>
      </c>
      <c r="J17" s="20" t="s">
        <v>80</v>
      </c>
      <c r="K17" s="20"/>
    </row>
    <row r="18" spans="1:11" ht="79.5" customHeight="1" x14ac:dyDescent="0.15">
      <c r="A18" s="20" t="s">
        <v>151</v>
      </c>
      <c r="B18" s="20" t="s">
        <v>138</v>
      </c>
      <c r="C18" s="20" t="s">
        <v>74</v>
      </c>
      <c r="D18" s="25" t="s">
        <v>668</v>
      </c>
      <c r="E18" s="25" t="s">
        <v>16</v>
      </c>
      <c r="F18" s="25" t="s">
        <v>122</v>
      </c>
      <c r="G18" s="26" t="s">
        <v>669</v>
      </c>
      <c r="H18" s="26" t="s">
        <v>78</v>
      </c>
      <c r="I18" s="20" t="s">
        <v>670</v>
      </c>
      <c r="J18" s="20" t="s">
        <v>80</v>
      </c>
      <c r="K18" s="20"/>
    </row>
    <row r="19" spans="1:11" ht="79.5" customHeight="1" x14ac:dyDescent="0.15">
      <c r="A19" s="20" t="s">
        <v>155</v>
      </c>
      <c r="B19" s="20" t="s">
        <v>138</v>
      </c>
      <c r="C19" s="20" t="s">
        <v>74</v>
      </c>
      <c r="D19" s="25" t="s">
        <v>671</v>
      </c>
      <c r="E19" s="25" t="s">
        <v>16</v>
      </c>
      <c r="F19" s="25" t="s">
        <v>656</v>
      </c>
      <c r="G19" s="26" t="s">
        <v>672</v>
      </c>
      <c r="H19" s="26" t="s">
        <v>78</v>
      </c>
      <c r="I19" s="20" t="s">
        <v>673</v>
      </c>
      <c r="J19" s="20" t="s">
        <v>80</v>
      </c>
      <c r="K19" s="20"/>
    </row>
    <row r="20" spans="1:11" ht="79.5" customHeight="1" x14ac:dyDescent="0.15">
      <c r="A20" s="20" t="s">
        <v>160</v>
      </c>
      <c r="B20" s="20" t="s">
        <v>161</v>
      </c>
      <c r="C20" s="20" t="s">
        <v>74</v>
      </c>
      <c r="D20" s="25" t="s">
        <v>674</v>
      </c>
      <c r="E20" s="25" t="s">
        <v>16</v>
      </c>
      <c r="F20" s="25" t="s">
        <v>634</v>
      </c>
      <c r="G20" s="26" t="s">
        <v>675</v>
      </c>
      <c r="H20" s="26" t="s">
        <v>78</v>
      </c>
      <c r="I20" s="20" t="s">
        <v>676</v>
      </c>
      <c r="J20" s="20" t="s">
        <v>80</v>
      </c>
      <c r="K20" s="20"/>
    </row>
    <row r="21" spans="1:11" ht="79.5" customHeight="1" x14ac:dyDescent="0.15">
      <c r="A21" s="20" t="s">
        <v>165</v>
      </c>
      <c r="B21" s="20" t="s">
        <v>161</v>
      </c>
      <c r="C21" s="20" t="s">
        <v>74</v>
      </c>
      <c r="D21" s="25" t="s">
        <v>677</v>
      </c>
      <c r="E21" s="25" t="s">
        <v>16</v>
      </c>
      <c r="F21" s="25" t="s">
        <v>618</v>
      </c>
      <c r="G21" s="26" t="s">
        <v>678</v>
      </c>
      <c r="H21" s="26" t="s">
        <v>78</v>
      </c>
      <c r="I21" s="20" t="s">
        <v>679</v>
      </c>
      <c r="J21" s="20" t="s">
        <v>80</v>
      </c>
      <c r="K21" s="20"/>
    </row>
    <row r="22" spans="1:11" ht="79.5" customHeight="1" x14ac:dyDescent="0.15">
      <c r="A22" s="20" t="s">
        <v>169</v>
      </c>
      <c r="B22" s="20" t="s">
        <v>161</v>
      </c>
      <c r="C22" s="20" t="s">
        <v>74</v>
      </c>
      <c r="D22" s="25" t="s">
        <v>680</v>
      </c>
      <c r="E22" s="25" t="s">
        <v>16</v>
      </c>
      <c r="F22" s="25" t="s">
        <v>618</v>
      </c>
      <c r="G22" s="26" t="s">
        <v>681</v>
      </c>
      <c r="H22" s="26" t="s">
        <v>78</v>
      </c>
      <c r="I22" s="20" t="s">
        <v>682</v>
      </c>
      <c r="J22" s="20" t="s">
        <v>80</v>
      </c>
      <c r="K22" s="20"/>
    </row>
    <row r="23" spans="1:11" ht="79.5" customHeight="1" x14ac:dyDescent="0.15">
      <c r="A23" s="20" t="s">
        <v>173</v>
      </c>
      <c r="B23" s="20" t="s">
        <v>161</v>
      </c>
      <c r="C23" s="20" t="s">
        <v>74</v>
      </c>
      <c r="D23" s="25" t="s">
        <v>683</v>
      </c>
      <c r="E23" s="25" t="s">
        <v>16</v>
      </c>
      <c r="F23" s="25" t="s">
        <v>684</v>
      </c>
      <c r="G23" s="26" t="s">
        <v>685</v>
      </c>
      <c r="H23" s="26" t="s">
        <v>78</v>
      </c>
      <c r="I23" s="20" t="s">
        <v>686</v>
      </c>
      <c r="J23" s="20" t="s">
        <v>80</v>
      </c>
      <c r="K23" s="20"/>
    </row>
    <row r="24" spans="1:11" ht="79.5" customHeight="1" x14ac:dyDescent="0.15">
      <c r="A24" s="20" t="s">
        <v>178</v>
      </c>
      <c r="B24" s="20" t="s">
        <v>179</v>
      </c>
      <c r="C24" s="20" t="s">
        <v>74</v>
      </c>
      <c r="D24" s="25" t="s">
        <v>687</v>
      </c>
      <c r="E24" s="25" t="s">
        <v>16</v>
      </c>
      <c r="F24" s="25" t="s">
        <v>140</v>
      </c>
      <c r="G24" s="26" t="s">
        <v>688</v>
      </c>
      <c r="H24" s="26" t="s">
        <v>78</v>
      </c>
      <c r="I24" s="20" t="s">
        <v>689</v>
      </c>
      <c r="J24" s="20" t="s">
        <v>80</v>
      </c>
      <c r="K24" s="20"/>
    </row>
    <row r="25" spans="1:11" ht="79.5" customHeight="1" x14ac:dyDescent="0.15">
      <c r="A25" s="20" t="s">
        <v>183</v>
      </c>
      <c r="B25" s="20" t="s">
        <v>179</v>
      </c>
      <c r="C25" s="20" t="s">
        <v>74</v>
      </c>
      <c r="D25" s="25" t="s">
        <v>690</v>
      </c>
      <c r="E25" s="25" t="s">
        <v>16</v>
      </c>
      <c r="F25" s="25" t="s">
        <v>691</v>
      </c>
      <c r="G25" s="26" t="s">
        <v>692</v>
      </c>
      <c r="H25" s="26" t="s">
        <v>78</v>
      </c>
      <c r="I25" s="20" t="s">
        <v>693</v>
      </c>
      <c r="J25" s="20" t="s">
        <v>80</v>
      </c>
      <c r="K25" s="20"/>
    </row>
    <row r="26" spans="1:11" ht="79.5" customHeight="1" x14ac:dyDescent="0.15">
      <c r="A26" s="20" t="s">
        <v>187</v>
      </c>
      <c r="B26" s="20" t="s">
        <v>179</v>
      </c>
      <c r="C26" s="20" t="s">
        <v>74</v>
      </c>
      <c r="D26" s="25" t="s">
        <v>694</v>
      </c>
      <c r="E26" s="25" t="s">
        <v>16</v>
      </c>
      <c r="F26" s="25" t="s">
        <v>122</v>
      </c>
      <c r="G26" s="26" t="s">
        <v>695</v>
      </c>
      <c r="H26" s="26" t="s">
        <v>78</v>
      </c>
      <c r="I26" s="20" t="s">
        <v>696</v>
      </c>
      <c r="J26" s="20" t="s">
        <v>80</v>
      </c>
      <c r="K26" s="20"/>
    </row>
    <row r="27" spans="1:11" ht="79.5" customHeight="1" x14ac:dyDescent="0.15">
      <c r="A27" s="20" t="s">
        <v>191</v>
      </c>
      <c r="B27" s="20" t="s">
        <v>179</v>
      </c>
      <c r="C27" s="20" t="s">
        <v>74</v>
      </c>
      <c r="D27" s="25" t="s">
        <v>697</v>
      </c>
      <c r="E27" s="25" t="s">
        <v>16</v>
      </c>
      <c r="F27" s="25" t="s">
        <v>656</v>
      </c>
      <c r="G27" s="26" t="s">
        <v>698</v>
      </c>
      <c r="H27" s="26" t="s">
        <v>78</v>
      </c>
      <c r="I27" s="20" t="s">
        <v>699</v>
      </c>
      <c r="J27" s="20" t="s">
        <v>80</v>
      </c>
      <c r="K27" s="20"/>
    </row>
    <row r="28" spans="1:11" ht="79.5" customHeight="1" x14ac:dyDescent="0.15">
      <c r="A28" s="20" t="s">
        <v>195</v>
      </c>
      <c r="B28" s="20" t="s">
        <v>196</v>
      </c>
      <c r="C28" s="20" t="s">
        <v>74</v>
      </c>
      <c r="D28" s="25" t="s">
        <v>700</v>
      </c>
      <c r="E28" s="25" t="s">
        <v>16</v>
      </c>
      <c r="F28" s="25" t="s">
        <v>198</v>
      </c>
      <c r="G28" s="26" t="s">
        <v>701</v>
      </c>
      <c r="H28" s="26" t="s">
        <v>78</v>
      </c>
      <c r="I28" s="20" t="s">
        <v>702</v>
      </c>
      <c r="J28" s="20" t="s">
        <v>80</v>
      </c>
      <c r="K28" s="20"/>
    </row>
    <row r="29" spans="1:11" ht="79.5" customHeight="1" x14ac:dyDescent="0.15">
      <c r="A29" s="20" t="s">
        <v>201</v>
      </c>
      <c r="B29" s="20" t="s">
        <v>196</v>
      </c>
      <c r="C29" s="20" t="s">
        <v>74</v>
      </c>
      <c r="D29" s="25" t="s">
        <v>703</v>
      </c>
      <c r="E29" s="25" t="s">
        <v>16</v>
      </c>
      <c r="F29" s="25" t="s">
        <v>656</v>
      </c>
      <c r="G29" s="26" t="s">
        <v>704</v>
      </c>
      <c r="H29" s="26" t="s">
        <v>78</v>
      </c>
      <c r="I29" s="20" t="s">
        <v>705</v>
      </c>
      <c r="J29" s="20" t="s">
        <v>80</v>
      </c>
      <c r="K29" s="20"/>
    </row>
    <row r="30" spans="1:11" ht="79.5" customHeight="1" x14ac:dyDescent="0.15">
      <c r="A30" s="20" t="s">
        <v>205</v>
      </c>
      <c r="B30" s="20" t="s">
        <v>196</v>
      </c>
      <c r="C30" s="20" t="s">
        <v>74</v>
      </c>
      <c r="D30" s="25" t="s">
        <v>706</v>
      </c>
      <c r="E30" s="25" t="s">
        <v>16</v>
      </c>
      <c r="F30" s="25" t="s">
        <v>618</v>
      </c>
      <c r="G30" s="26" t="s">
        <v>707</v>
      </c>
      <c r="H30" s="26" t="s">
        <v>78</v>
      </c>
      <c r="I30" s="20" t="s">
        <v>708</v>
      </c>
      <c r="J30" s="20" t="s">
        <v>80</v>
      </c>
      <c r="K30" s="20"/>
    </row>
    <row r="31" spans="1:11" ht="79.5" customHeight="1" x14ac:dyDescent="0.15">
      <c r="A31" s="20" t="s">
        <v>209</v>
      </c>
      <c r="B31" s="20" t="s">
        <v>196</v>
      </c>
      <c r="C31" s="20" t="s">
        <v>74</v>
      </c>
      <c r="D31" s="25" t="s">
        <v>709</v>
      </c>
      <c r="E31" s="25" t="s">
        <v>16</v>
      </c>
      <c r="F31" s="25" t="s">
        <v>618</v>
      </c>
      <c r="G31" s="26" t="s">
        <v>710</v>
      </c>
      <c r="H31" s="26" t="s">
        <v>78</v>
      </c>
      <c r="I31" s="20" t="s">
        <v>711</v>
      </c>
      <c r="J31" s="20" t="s">
        <v>80</v>
      </c>
      <c r="K31" s="20"/>
    </row>
    <row r="32" spans="1:11" ht="79.5" customHeight="1" x14ac:dyDescent="0.15">
      <c r="A32" s="20" t="s">
        <v>213</v>
      </c>
      <c r="B32" s="20" t="s">
        <v>196</v>
      </c>
      <c r="C32" s="20" t="s">
        <v>74</v>
      </c>
      <c r="D32" s="25" t="s">
        <v>712</v>
      </c>
      <c r="E32" s="25" t="s">
        <v>16</v>
      </c>
      <c r="F32" s="25" t="s">
        <v>618</v>
      </c>
      <c r="G32" s="26" t="s">
        <v>713</v>
      </c>
      <c r="H32" s="26" t="s">
        <v>78</v>
      </c>
      <c r="I32" s="20" t="s">
        <v>714</v>
      </c>
      <c r="J32" s="20" t="s">
        <v>80</v>
      </c>
      <c r="K32" s="20"/>
    </row>
    <row r="33" spans="1:11" ht="79.5" customHeight="1" x14ac:dyDescent="0.15">
      <c r="A33" s="20" t="s">
        <v>218</v>
      </c>
      <c r="B33" s="20" t="s">
        <v>219</v>
      </c>
      <c r="C33" s="20" t="s">
        <v>74</v>
      </c>
      <c r="D33" s="25" t="s">
        <v>715</v>
      </c>
      <c r="E33" s="25" t="s">
        <v>16</v>
      </c>
      <c r="F33" s="25" t="s">
        <v>618</v>
      </c>
      <c r="G33" s="26" t="s">
        <v>716</v>
      </c>
      <c r="H33" s="26" t="s">
        <v>78</v>
      </c>
      <c r="I33" s="20" t="s">
        <v>717</v>
      </c>
      <c r="J33" s="20" t="s">
        <v>80</v>
      </c>
      <c r="K33" s="20"/>
    </row>
    <row r="34" spans="1:11" ht="79.5" customHeight="1" x14ac:dyDescent="0.15">
      <c r="A34" s="20" t="s">
        <v>223</v>
      </c>
      <c r="B34" s="20" t="s">
        <v>219</v>
      </c>
      <c r="C34" s="20" t="s">
        <v>74</v>
      </c>
      <c r="D34" s="25" t="s">
        <v>718</v>
      </c>
      <c r="E34" s="25" t="s">
        <v>16</v>
      </c>
      <c r="F34" s="25" t="s">
        <v>618</v>
      </c>
      <c r="G34" s="26" t="s">
        <v>719</v>
      </c>
      <c r="H34" s="26" t="s">
        <v>78</v>
      </c>
      <c r="I34" s="20" t="s">
        <v>720</v>
      </c>
      <c r="J34" s="20" t="s">
        <v>80</v>
      </c>
      <c r="K34" s="20"/>
    </row>
    <row r="35" spans="1:11" ht="79.5" customHeight="1" x14ac:dyDescent="0.15">
      <c r="A35" s="20" t="s">
        <v>227</v>
      </c>
      <c r="B35" s="20" t="s">
        <v>219</v>
      </c>
      <c r="C35" s="20" t="s">
        <v>74</v>
      </c>
      <c r="D35" s="25" t="s">
        <v>721</v>
      </c>
      <c r="E35" s="25" t="s">
        <v>16</v>
      </c>
      <c r="F35" s="25" t="s">
        <v>140</v>
      </c>
      <c r="G35" s="26" t="s">
        <v>722</v>
      </c>
      <c r="H35" s="26" t="s">
        <v>78</v>
      </c>
      <c r="I35" s="20" t="s">
        <v>723</v>
      </c>
      <c r="J35" s="20" t="s">
        <v>80</v>
      </c>
      <c r="K35" s="20"/>
    </row>
    <row r="36" spans="1:11" ht="79.5" customHeight="1" x14ac:dyDescent="0.15">
      <c r="A36" s="20" t="s">
        <v>231</v>
      </c>
      <c r="B36" s="20" t="s">
        <v>219</v>
      </c>
      <c r="C36" s="20" t="s">
        <v>74</v>
      </c>
      <c r="D36" s="25" t="s">
        <v>724</v>
      </c>
      <c r="E36" s="25" t="s">
        <v>16</v>
      </c>
      <c r="F36" s="25" t="s">
        <v>122</v>
      </c>
      <c r="G36" s="26" t="s">
        <v>725</v>
      </c>
      <c r="H36" s="26" t="s">
        <v>78</v>
      </c>
      <c r="I36" s="20" t="s">
        <v>726</v>
      </c>
      <c r="J36" s="20" t="s">
        <v>80</v>
      </c>
      <c r="K36" s="20"/>
    </row>
    <row r="37" spans="1:11" ht="79.5" customHeight="1" x14ac:dyDescent="0.15">
      <c r="A37" s="20" t="s">
        <v>235</v>
      </c>
      <c r="B37" s="20" t="s">
        <v>236</v>
      </c>
      <c r="C37" s="20" t="s">
        <v>74</v>
      </c>
      <c r="D37" s="25" t="s">
        <v>727</v>
      </c>
      <c r="E37" s="25" t="s">
        <v>16</v>
      </c>
      <c r="F37" s="25" t="s">
        <v>198</v>
      </c>
      <c r="G37" s="26" t="s">
        <v>728</v>
      </c>
      <c r="H37" s="26" t="s">
        <v>78</v>
      </c>
      <c r="I37" s="20" t="s">
        <v>729</v>
      </c>
      <c r="J37" s="20" t="s">
        <v>80</v>
      </c>
      <c r="K37" s="20"/>
    </row>
    <row r="38" spans="1:11" ht="79.5" customHeight="1" x14ac:dyDescent="0.15">
      <c r="A38" s="20" t="s">
        <v>240</v>
      </c>
      <c r="B38" s="20" t="s">
        <v>236</v>
      </c>
      <c r="C38" s="20" t="s">
        <v>74</v>
      </c>
      <c r="D38" s="25" t="s">
        <v>730</v>
      </c>
      <c r="E38" s="25" t="s">
        <v>16</v>
      </c>
      <c r="F38" s="25" t="s">
        <v>656</v>
      </c>
      <c r="G38" s="26" t="s">
        <v>731</v>
      </c>
      <c r="H38" s="26" t="s">
        <v>78</v>
      </c>
      <c r="I38" s="20" t="s">
        <v>732</v>
      </c>
      <c r="J38" s="20" t="s">
        <v>80</v>
      </c>
      <c r="K38" s="20"/>
    </row>
    <row r="39" spans="1:11" ht="79.5" customHeight="1" x14ac:dyDescent="0.15">
      <c r="A39" s="20" t="s">
        <v>245</v>
      </c>
      <c r="B39" s="20" t="s">
        <v>236</v>
      </c>
      <c r="C39" s="20" t="s">
        <v>74</v>
      </c>
      <c r="D39" s="25" t="s">
        <v>733</v>
      </c>
      <c r="E39" s="25" t="s">
        <v>16</v>
      </c>
      <c r="F39" s="25" t="s">
        <v>198</v>
      </c>
      <c r="G39" s="26" t="s">
        <v>734</v>
      </c>
      <c r="H39" s="26" t="s">
        <v>78</v>
      </c>
      <c r="I39" s="20" t="s">
        <v>735</v>
      </c>
      <c r="J39" s="20" t="s">
        <v>80</v>
      </c>
      <c r="K39" s="20"/>
    </row>
    <row r="40" spans="1:11" ht="79.5" customHeight="1" x14ac:dyDescent="0.15">
      <c r="A40" s="20" t="s">
        <v>249</v>
      </c>
      <c r="B40" s="20" t="s">
        <v>236</v>
      </c>
      <c r="C40" s="20" t="s">
        <v>74</v>
      </c>
      <c r="D40" s="25" t="s">
        <v>736</v>
      </c>
      <c r="E40" s="25" t="s">
        <v>16</v>
      </c>
      <c r="F40" s="25" t="s">
        <v>656</v>
      </c>
      <c r="G40" s="26" t="s">
        <v>737</v>
      </c>
      <c r="H40" s="26" t="s">
        <v>78</v>
      </c>
      <c r="I40" s="20" t="s">
        <v>738</v>
      </c>
      <c r="J40" s="20" t="s">
        <v>80</v>
      </c>
      <c r="K40" s="20"/>
    </row>
    <row r="41" spans="1:11" ht="79.5" customHeight="1" x14ac:dyDescent="0.15">
      <c r="A41" s="20" t="s">
        <v>253</v>
      </c>
      <c r="B41" s="20" t="s">
        <v>254</v>
      </c>
      <c r="C41" s="20" t="s">
        <v>74</v>
      </c>
      <c r="D41" s="25" t="s">
        <v>739</v>
      </c>
      <c r="E41" s="25" t="s">
        <v>16</v>
      </c>
      <c r="F41" s="25" t="s">
        <v>656</v>
      </c>
      <c r="G41" s="26" t="s">
        <v>740</v>
      </c>
      <c r="H41" s="26" t="s">
        <v>78</v>
      </c>
      <c r="I41" s="20" t="s">
        <v>741</v>
      </c>
      <c r="J41" s="20" t="s">
        <v>80</v>
      </c>
      <c r="K41" s="20"/>
    </row>
    <row r="42" spans="1:11" ht="79.5" customHeight="1" x14ac:dyDescent="0.15">
      <c r="A42" s="20" t="s">
        <v>258</v>
      </c>
      <c r="B42" s="20" t="s">
        <v>254</v>
      </c>
      <c r="C42" s="20" t="s">
        <v>74</v>
      </c>
      <c r="D42" s="25" t="s">
        <v>742</v>
      </c>
      <c r="E42" s="25" t="s">
        <v>16</v>
      </c>
      <c r="F42" s="25" t="s">
        <v>102</v>
      </c>
      <c r="G42" s="26" t="s">
        <v>743</v>
      </c>
      <c r="H42" s="26" t="s">
        <v>78</v>
      </c>
      <c r="I42" s="20" t="s">
        <v>744</v>
      </c>
      <c r="J42" s="20" t="s">
        <v>80</v>
      </c>
      <c r="K42" s="20"/>
    </row>
    <row r="43" spans="1:11" ht="79.5" customHeight="1" x14ac:dyDescent="0.15">
      <c r="A43" s="20" t="s">
        <v>262</v>
      </c>
      <c r="B43" s="20" t="s">
        <v>254</v>
      </c>
      <c r="C43" s="20" t="s">
        <v>74</v>
      </c>
      <c r="D43" s="25" t="s">
        <v>745</v>
      </c>
      <c r="E43" s="25" t="s">
        <v>16</v>
      </c>
      <c r="F43" s="25" t="s">
        <v>656</v>
      </c>
      <c r="G43" s="26" t="s">
        <v>746</v>
      </c>
      <c r="H43" s="26" t="s">
        <v>78</v>
      </c>
      <c r="I43" s="20" t="s">
        <v>747</v>
      </c>
      <c r="J43" s="20" t="s">
        <v>80</v>
      </c>
      <c r="K43" s="20"/>
    </row>
    <row r="44" spans="1:11" ht="79.5" customHeight="1" x14ac:dyDescent="0.15">
      <c r="A44" s="20" t="s">
        <v>266</v>
      </c>
      <c r="B44" s="20" t="s">
        <v>254</v>
      </c>
      <c r="C44" s="20" t="s">
        <v>74</v>
      </c>
      <c r="D44" s="25" t="s">
        <v>748</v>
      </c>
      <c r="E44" s="25" t="s">
        <v>16</v>
      </c>
      <c r="F44" s="25" t="s">
        <v>656</v>
      </c>
      <c r="G44" s="26" t="s">
        <v>749</v>
      </c>
      <c r="H44" s="26" t="s">
        <v>78</v>
      </c>
      <c r="I44" s="20" t="s">
        <v>750</v>
      </c>
      <c r="J44" s="20" t="s">
        <v>80</v>
      </c>
      <c r="K44" s="20"/>
    </row>
    <row r="45" spans="1:11" ht="79.5" customHeight="1" x14ac:dyDescent="0.15">
      <c r="A45" s="20" t="s">
        <v>270</v>
      </c>
      <c r="B45" s="20" t="s">
        <v>254</v>
      </c>
      <c r="C45" s="20" t="s">
        <v>74</v>
      </c>
      <c r="D45" s="25" t="s">
        <v>751</v>
      </c>
      <c r="E45" s="25" t="s">
        <v>16</v>
      </c>
      <c r="F45" s="25" t="s">
        <v>656</v>
      </c>
      <c r="G45" s="26" t="s">
        <v>752</v>
      </c>
      <c r="H45" s="26" t="s">
        <v>78</v>
      </c>
      <c r="I45" s="20" t="s">
        <v>753</v>
      </c>
      <c r="J45" s="20" t="s">
        <v>80</v>
      </c>
      <c r="K45" s="20"/>
    </row>
    <row r="46" spans="1:11" ht="79.5" customHeight="1" x14ac:dyDescent="0.15">
      <c r="A46" s="20" t="s">
        <v>274</v>
      </c>
      <c r="B46" s="20" t="s">
        <v>275</v>
      </c>
      <c r="C46" s="20" t="s">
        <v>74</v>
      </c>
      <c r="D46" s="25" t="s">
        <v>754</v>
      </c>
      <c r="E46" s="25" t="s">
        <v>16</v>
      </c>
      <c r="F46" s="25" t="s">
        <v>656</v>
      </c>
      <c r="G46" s="26" t="s">
        <v>755</v>
      </c>
      <c r="H46" s="26" t="s">
        <v>78</v>
      </c>
      <c r="I46" s="20" t="s">
        <v>756</v>
      </c>
      <c r="J46" s="20" t="s">
        <v>80</v>
      </c>
      <c r="K46" s="20"/>
    </row>
    <row r="47" spans="1:11" ht="79.5" customHeight="1" x14ac:dyDescent="0.15">
      <c r="A47" s="20" t="s">
        <v>279</v>
      </c>
      <c r="B47" s="20" t="s">
        <v>275</v>
      </c>
      <c r="C47" s="20" t="s">
        <v>74</v>
      </c>
      <c r="D47" s="25" t="s">
        <v>757</v>
      </c>
      <c r="E47" s="25" t="s">
        <v>16</v>
      </c>
      <c r="F47" s="25" t="s">
        <v>656</v>
      </c>
      <c r="G47" s="26" t="s">
        <v>758</v>
      </c>
      <c r="H47" s="26" t="s">
        <v>78</v>
      </c>
      <c r="I47" s="20" t="s">
        <v>759</v>
      </c>
      <c r="J47" s="20" t="s">
        <v>80</v>
      </c>
      <c r="K47" s="20"/>
    </row>
    <row r="48" spans="1:11" ht="79.5" customHeight="1" x14ac:dyDescent="0.15">
      <c r="A48" s="20" t="s">
        <v>283</v>
      </c>
      <c r="B48" s="20" t="s">
        <v>275</v>
      </c>
      <c r="C48" s="20" t="s">
        <v>74</v>
      </c>
      <c r="D48" s="25" t="s">
        <v>760</v>
      </c>
      <c r="E48" s="25" t="s">
        <v>16</v>
      </c>
      <c r="F48" s="25" t="s">
        <v>656</v>
      </c>
      <c r="G48" s="26" t="s">
        <v>761</v>
      </c>
      <c r="H48" s="26" t="s">
        <v>78</v>
      </c>
      <c r="I48" s="20" t="s">
        <v>762</v>
      </c>
      <c r="J48" s="20" t="s">
        <v>80</v>
      </c>
      <c r="K48" s="20"/>
    </row>
    <row r="49" spans="1:11" ht="79.5" customHeight="1" x14ac:dyDescent="0.15">
      <c r="A49" s="20" t="s">
        <v>287</v>
      </c>
      <c r="B49" s="20" t="s">
        <v>275</v>
      </c>
      <c r="C49" s="20" t="s">
        <v>74</v>
      </c>
      <c r="D49" s="25" t="s">
        <v>763</v>
      </c>
      <c r="E49" s="25" t="s">
        <v>16</v>
      </c>
      <c r="F49" s="25" t="s">
        <v>656</v>
      </c>
      <c r="G49" s="26" t="s">
        <v>764</v>
      </c>
      <c r="H49" s="26" t="s">
        <v>78</v>
      </c>
      <c r="I49" s="20" t="s">
        <v>765</v>
      </c>
      <c r="J49" s="20" t="s">
        <v>80</v>
      </c>
      <c r="K49" s="20"/>
    </row>
    <row r="50" spans="1:11" ht="79.5" customHeight="1" x14ac:dyDescent="0.15">
      <c r="A50" s="20" t="s">
        <v>291</v>
      </c>
      <c r="B50" s="20" t="s">
        <v>292</v>
      </c>
      <c r="C50" s="20" t="s">
        <v>74</v>
      </c>
      <c r="D50" s="25" t="s">
        <v>766</v>
      </c>
      <c r="E50" s="25" t="s">
        <v>16</v>
      </c>
      <c r="F50" s="25" t="s">
        <v>140</v>
      </c>
      <c r="G50" s="26" t="s">
        <v>767</v>
      </c>
      <c r="H50" s="26" t="s">
        <v>78</v>
      </c>
      <c r="I50" s="20" t="s">
        <v>768</v>
      </c>
      <c r="J50" s="20" t="s">
        <v>80</v>
      </c>
      <c r="K50" s="20"/>
    </row>
    <row r="51" spans="1:11" ht="79.5" customHeight="1" x14ac:dyDescent="0.15">
      <c r="A51" s="20" t="s">
        <v>296</v>
      </c>
      <c r="B51" s="20" t="s">
        <v>292</v>
      </c>
      <c r="C51" s="20" t="s">
        <v>74</v>
      </c>
      <c r="D51" s="25" t="s">
        <v>769</v>
      </c>
      <c r="E51" s="25" t="s">
        <v>16</v>
      </c>
      <c r="F51" s="25" t="s">
        <v>122</v>
      </c>
      <c r="G51" s="26" t="s">
        <v>770</v>
      </c>
      <c r="H51" s="26" t="s">
        <v>78</v>
      </c>
      <c r="I51" s="20" t="s">
        <v>771</v>
      </c>
      <c r="J51" s="20" t="s">
        <v>80</v>
      </c>
      <c r="K51" s="20"/>
    </row>
    <row r="52" spans="1:11" ht="79.5" customHeight="1" x14ac:dyDescent="0.15">
      <c r="A52" s="20" t="s">
        <v>300</v>
      </c>
      <c r="B52" s="20" t="s">
        <v>292</v>
      </c>
      <c r="C52" s="20" t="s">
        <v>74</v>
      </c>
      <c r="D52" s="25" t="s">
        <v>772</v>
      </c>
      <c r="E52" s="25" t="s">
        <v>16</v>
      </c>
      <c r="F52" s="25" t="s">
        <v>656</v>
      </c>
      <c r="G52" s="26" t="s">
        <v>773</v>
      </c>
      <c r="H52" s="26" t="s">
        <v>78</v>
      </c>
      <c r="I52" s="20" t="s">
        <v>303</v>
      </c>
      <c r="J52" s="20" t="s">
        <v>80</v>
      </c>
      <c r="K52" s="20"/>
    </row>
    <row r="53" spans="1:11" ht="79.5" customHeight="1" x14ac:dyDescent="0.15">
      <c r="A53" s="20" t="s">
        <v>304</v>
      </c>
      <c r="B53" s="20" t="s">
        <v>292</v>
      </c>
      <c r="C53" s="20" t="s">
        <v>74</v>
      </c>
      <c r="D53" s="25" t="s">
        <v>460</v>
      </c>
      <c r="E53" s="25" t="s">
        <v>16</v>
      </c>
      <c r="F53" s="25" t="s">
        <v>656</v>
      </c>
      <c r="G53" s="26" t="s">
        <v>774</v>
      </c>
      <c r="H53" s="26" t="s">
        <v>78</v>
      </c>
      <c r="I53" s="20" t="s">
        <v>462</v>
      </c>
      <c r="J53" s="20" t="s">
        <v>80</v>
      </c>
      <c r="K53" s="20"/>
    </row>
  </sheetData>
  <dataValidations count="1">
    <dataValidation type="list" allowBlank="1" sqref="J2:J53" xr:uid="{00000000-0002-0000-0500-000000000000}">
      <formula1>"⬜,🔄,✅,⏸️"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40"/>
  <sheetViews>
    <sheetView workbookViewId="0"/>
  </sheetViews>
  <sheetFormatPr baseColWidth="10" defaultColWidth="8.6640625" defaultRowHeight="13" x14ac:dyDescent="0.15"/>
  <cols>
    <col min="1" max="1" width="8" customWidth="1"/>
    <col min="2" max="2" width="5" customWidth="1"/>
    <col min="3" max="3" width="10" customWidth="1"/>
    <col min="4" max="4" width="45" customWidth="1"/>
    <col min="5" max="5" width="8" customWidth="1"/>
    <col min="6" max="6" width="50" customWidth="1"/>
    <col min="7" max="7" width="55" customWidth="1"/>
    <col min="8" max="8" width="8" customWidth="1"/>
    <col min="9" max="9" width="25" customWidth="1"/>
    <col min="10" max="10" width="8" customWidth="1"/>
    <col min="11" max="11" width="15" customWidth="1"/>
  </cols>
  <sheetData>
    <row r="1" spans="1:11" ht="30" x14ac:dyDescent="0.15">
      <c r="A1" s="24" t="s">
        <v>61</v>
      </c>
      <c r="B1" s="24" t="s">
        <v>62</v>
      </c>
      <c r="C1" s="24" t="s">
        <v>63</v>
      </c>
      <c r="D1" s="24" t="s">
        <v>64</v>
      </c>
      <c r="E1" s="24" t="s">
        <v>65</v>
      </c>
      <c r="F1" s="24" t="s">
        <v>66</v>
      </c>
      <c r="G1" s="24" t="s">
        <v>2475</v>
      </c>
      <c r="H1" s="24" t="s">
        <v>68</v>
      </c>
      <c r="I1" s="24" t="s">
        <v>69</v>
      </c>
      <c r="J1" s="24" t="s">
        <v>70</v>
      </c>
      <c r="K1" s="24" t="s">
        <v>71</v>
      </c>
    </row>
    <row r="2" spans="1:11" ht="277.25" customHeight="1" x14ac:dyDescent="0.15">
      <c r="A2" s="20" t="s">
        <v>775</v>
      </c>
      <c r="B2" s="20" t="s">
        <v>776</v>
      </c>
      <c r="C2" s="20" t="s">
        <v>777</v>
      </c>
      <c r="D2" s="25" t="s">
        <v>778</v>
      </c>
      <c r="E2" s="25" t="s">
        <v>16</v>
      </c>
      <c r="F2" s="25" t="s">
        <v>779</v>
      </c>
      <c r="G2" s="26" t="s">
        <v>2476</v>
      </c>
      <c r="H2" s="26" t="s">
        <v>78</v>
      </c>
      <c r="I2" s="20" t="s">
        <v>780</v>
      </c>
      <c r="J2" s="20" t="s">
        <v>80</v>
      </c>
      <c r="K2" s="20"/>
    </row>
    <row r="3" spans="1:11" ht="118.75" customHeight="1" x14ac:dyDescent="0.15">
      <c r="A3" s="20" t="s">
        <v>781</v>
      </c>
      <c r="B3" s="20" t="s">
        <v>776</v>
      </c>
      <c r="C3" s="20" t="s">
        <v>777</v>
      </c>
      <c r="D3" s="25" t="s">
        <v>782</v>
      </c>
      <c r="E3" s="25" t="s">
        <v>16</v>
      </c>
      <c r="F3" s="25" t="s">
        <v>779</v>
      </c>
      <c r="G3" s="26" t="s">
        <v>2477</v>
      </c>
      <c r="H3" s="26" t="s">
        <v>78</v>
      </c>
      <c r="I3" s="20" t="s">
        <v>783</v>
      </c>
      <c r="J3" s="20" t="s">
        <v>80</v>
      </c>
      <c r="K3" s="20"/>
    </row>
    <row r="4" spans="1:11" ht="79.5" customHeight="1" x14ac:dyDescent="0.15">
      <c r="A4" s="20" t="s">
        <v>784</v>
      </c>
      <c r="B4" s="20" t="s">
        <v>776</v>
      </c>
      <c r="C4" s="20" t="s">
        <v>777</v>
      </c>
      <c r="D4" s="25" t="s">
        <v>785</v>
      </c>
      <c r="E4" s="25" t="s">
        <v>16</v>
      </c>
      <c r="F4" s="25" t="s">
        <v>779</v>
      </c>
      <c r="G4" s="26" t="s">
        <v>2478</v>
      </c>
      <c r="H4" s="26" t="s">
        <v>78</v>
      </c>
      <c r="I4" s="20" t="s">
        <v>786</v>
      </c>
      <c r="J4" s="20" t="s">
        <v>80</v>
      </c>
      <c r="K4" s="20"/>
    </row>
    <row r="5" spans="1:11" ht="105.5" customHeight="1" x14ac:dyDescent="0.15">
      <c r="A5" s="20" t="s">
        <v>787</v>
      </c>
      <c r="B5" s="20" t="s">
        <v>776</v>
      </c>
      <c r="C5" s="20" t="s">
        <v>777</v>
      </c>
      <c r="D5" s="25" t="s">
        <v>788</v>
      </c>
      <c r="E5" s="25" t="s">
        <v>16</v>
      </c>
      <c r="F5" s="25" t="s">
        <v>779</v>
      </c>
      <c r="G5" s="26" t="s">
        <v>2479</v>
      </c>
      <c r="H5" s="26" t="s">
        <v>78</v>
      </c>
      <c r="I5" s="20" t="s">
        <v>789</v>
      </c>
      <c r="J5" s="20" t="s">
        <v>80</v>
      </c>
      <c r="K5" s="20"/>
    </row>
    <row r="6" spans="1:11" ht="79.5" customHeight="1" x14ac:dyDescent="0.15">
      <c r="A6" s="20" t="s">
        <v>790</v>
      </c>
      <c r="B6" s="20" t="s">
        <v>791</v>
      </c>
      <c r="C6" s="20" t="s">
        <v>777</v>
      </c>
      <c r="D6" s="25" t="s">
        <v>792</v>
      </c>
      <c r="E6" s="25" t="s">
        <v>16</v>
      </c>
      <c r="F6" s="25" t="s">
        <v>793</v>
      </c>
      <c r="G6" s="26" t="s">
        <v>2480</v>
      </c>
      <c r="H6" s="26" t="s">
        <v>78</v>
      </c>
      <c r="I6" s="20" t="s">
        <v>794</v>
      </c>
      <c r="J6" s="20" t="s">
        <v>80</v>
      </c>
      <c r="K6" s="20"/>
    </row>
    <row r="7" spans="1:11" ht="79.5" customHeight="1" x14ac:dyDescent="0.15">
      <c r="A7" s="20" t="s">
        <v>795</v>
      </c>
      <c r="B7" s="20" t="s">
        <v>791</v>
      </c>
      <c r="C7" s="20" t="s">
        <v>777</v>
      </c>
      <c r="D7" s="25" t="s">
        <v>796</v>
      </c>
      <c r="E7" s="25" t="s">
        <v>16</v>
      </c>
      <c r="F7" s="25" t="s">
        <v>793</v>
      </c>
      <c r="G7" s="26" t="s">
        <v>2481</v>
      </c>
      <c r="H7" s="26" t="s">
        <v>78</v>
      </c>
      <c r="I7" s="20" t="s">
        <v>797</v>
      </c>
      <c r="J7" s="20" t="s">
        <v>80</v>
      </c>
      <c r="K7" s="20"/>
    </row>
    <row r="8" spans="1:11" ht="79.5" customHeight="1" x14ac:dyDescent="0.15">
      <c r="A8" s="20" t="s">
        <v>798</v>
      </c>
      <c r="B8" s="20" t="s">
        <v>791</v>
      </c>
      <c r="C8" s="20" t="s">
        <v>777</v>
      </c>
      <c r="D8" s="25" t="s">
        <v>799</v>
      </c>
      <c r="E8" s="25" t="s">
        <v>16</v>
      </c>
      <c r="F8" s="25" t="s">
        <v>793</v>
      </c>
      <c r="G8" s="26" t="s">
        <v>2482</v>
      </c>
      <c r="H8" s="26" t="s">
        <v>78</v>
      </c>
      <c r="I8" s="20" t="s">
        <v>800</v>
      </c>
      <c r="J8" s="20" t="s">
        <v>80</v>
      </c>
      <c r="K8" s="20"/>
    </row>
    <row r="9" spans="1:11" ht="237.5" customHeight="1" x14ac:dyDescent="0.15">
      <c r="A9" s="20" t="s">
        <v>801</v>
      </c>
      <c r="B9" s="20" t="s">
        <v>791</v>
      </c>
      <c r="C9" s="20" t="s">
        <v>777</v>
      </c>
      <c r="D9" s="25" t="s">
        <v>802</v>
      </c>
      <c r="E9" s="25" t="s">
        <v>16</v>
      </c>
      <c r="F9" s="25" t="s">
        <v>793</v>
      </c>
      <c r="G9" s="26" t="s">
        <v>2483</v>
      </c>
      <c r="H9" s="26" t="s">
        <v>78</v>
      </c>
      <c r="I9" s="20" t="s">
        <v>803</v>
      </c>
      <c r="J9" s="20" t="s">
        <v>80</v>
      </c>
      <c r="K9" s="20"/>
    </row>
    <row r="10" spans="1:11" ht="79.5" customHeight="1" x14ac:dyDescent="0.15">
      <c r="A10" s="20" t="s">
        <v>804</v>
      </c>
      <c r="B10" s="20" t="s">
        <v>805</v>
      </c>
      <c r="C10" s="20" t="s">
        <v>777</v>
      </c>
      <c r="D10" s="25" t="s">
        <v>806</v>
      </c>
      <c r="E10" s="25" t="s">
        <v>16</v>
      </c>
      <c r="F10" s="25" t="s">
        <v>807</v>
      </c>
      <c r="G10" s="26" t="s">
        <v>2484</v>
      </c>
      <c r="H10" s="26" t="s">
        <v>78</v>
      </c>
      <c r="I10" s="20" t="s">
        <v>808</v>
      </c>
      <c r="J10" s="20" t="s">
        <v>80</v>
      </c>
      <c r="K10" s="20"/>
    </row>
    <row r="11" spans="1:11" ht="79.5" customHeight="1" x14ac:dyDescent="0.15">
      <c r="A11" s="20" t="s">
        <v>809</v>
      </c>
      <c r="B11" s="20" t="s">
        <v>805</v>
      </c>
      <c r="C11" s="20" t="s">
        <v>777</v>
      </c>
      <c r="D11" s="25" t="s">
        <v>810</v>
      </c>
      <c r="E11" s="25" t="s">
        <v>16</v>
      </c>
      <c r="F11" s="25" t="s">
        <v>807</v>
      </c>
      <c r="G11" s="26" t="s">
        <v>2485</v>
      </c>
      <c r="H11" s="26" t="s">
        <v>78</v>
      </c>
      <c r="I11" s="20" t="s">
        <v>811</v>
      </c>
      <c r="J11" s="20" t="s">
        <v>80</v>
      </c>
      <c r="K11" s="20"/>
    </row>
    <row r="12" spans="1:11" ht="75" customHeight="1" x14ac:dyDescent="0.15">
      <c r="A12" s="27" t="s">
        <v>812</v>
      </c>
      <c r="B12" s="28" t="s">
        <v>805</v>
      </c>
      <c r="C12" s="28" t="s">
        <v>777</v>
      </c>
      <c r="D12" s="29" t="s">
        <v>813</v>
      </c>
      <c r="E12" s="28" t="s">
        <v>814</v>
      </c>
      <c r="F12" s="29" t="s">
        <v>815</v>
      </c>
      <c r="G12" s="29" t="s">
        <v>2486</v>
      </c>
      <c r="H12" s="28" t="s">
        <v>816</v>
      </c>
      <c r="I12" s="29" t="s">
        <v>817</v>
      </c>
      <c r="J12" s="28" t="s">
        <v>80</v>
      </c>
      <c r="K12" s="29" t="s">
        <v>2487</v>
      </c>
    </row>
    <row r="13" spans="1:11" ht="79.5" customHeight="1" x14ac:dyDescent="0.15">
      <c r="A13" s="20" t="s">
        <v>818</v>
      </c>
      <c r="B13" s="20" t="s">
        <v>805</v>
      </c>
      <c r="C13" s="20" t="s">
        <v>777</v>
      </c>
      <c r="D13" s="25" t="s">
        <v>819</v>
      </c>
      <c r="E13" s="25" t="s">
        <v>16</v>
      </c>
      <c r="F13" s="25" t="s">
        <v>820</v>
      </c>
      <c r="G13" s="26" t="s">
        <v>2488</v>
      </c>
      <c r="H13" s="26" t="s">
        <v>78</v>
      </c>
      <c r="I13" s="20" t="s">
        <v>821</v>
      </c>
      <c r="J13" s="20" t="s">
        <v>80</v>
      </c>
      <c r="K13" s="20"/>
    </row>
    <row r="14" spans="1:11" ht="79.5" customHeight="1" x14ac:dyDescent="0.15">
      <c r="A14" s="20" t="s">
        <v>822</v>
      </c>
      <c r="B14" s="20" t="s">
        <v>805</v>
      </c>
      <c r="C14" s="20" t="s">
        <v>777</v>
      </c>
      <c r="D14" s="25" t="s">
        <v>823</v>
      </c>
      <c r="E14" s="25" t="s">
        <v>16</v>
      </c>
      <c r="F14" s="25" t="s">
        <v>824</v>
      </c>
      <c r="G14" s="26" t="s">
        <v>2489</v>
      </c>
      <c r="H14" s="26" t="s">
        <v>78</v>
      </c>
      <c r="I14" s="20" t="s">
        <v>825</v>
      </c>
      <c r="J14" s="20" t="s">
        <v>80</v>
      </c>
      <c r="K14" s="20"/>
    </row>
    <row r="15" spans="1:11" ht="79.5" customHeight="1" x14ac:dyDescent="0.15">
      <c r="A15" s="20" t="s">
        <v>826</v>
      </c>
      <c r="B15" s="20" t="s">
        <v>827</v>
      </c>
      <c r="C15" s="20" t="s">
        <v>777</v>
      </c>
      <c r="D15" s="25" t="s">
        <v>828</v>
      </c>
      <c r="E15" s="25" t="s">
        <v>16</v>
      </c>
      <c r="F15" s="25" t="s">
        <v>829</v>
      </c>
      <c r="G15" s="26" t="s">
        <v>2490</v>
      </c>
      <c r="H15" s="26" t="s">
        <v>78</v>
      </c>
      <c r="I15" s="20" t="s">
        <v>830</v>
      </c>
      <c r="J15" s="20" t="s">
        <v>80</v>
      </c>
      <c r="K15" s="20"/>
    </row>
    <row r="16" spans="1:11" ht="79.5" customHeight="1" x14ac:dyDescent="0.15">
      <c r="A16" s="20" t="s">
        <v>831</v>
      </c>
      <c r="B16" s="20" t="s">
        <v>827</v>
      </c>
      <c r="C16" s="20" t="s">
        <v>777</v>
      </c>
      <c r="D16" s="25" t="s">
        <v>832</v>
      </c>
      <c r="E16" s="25" t="s">
        <v>16</v>
      </c>
      <c r="F16" s="25" t="s">
        <v>833</v>
      </c>
      <c r="G16" s="26" t="s">
        <v>2491</v>
      </c>
      <c r="H16" s="26" t="s">
        <v>78</v>
      </c>
      <c r="I16" s="20" t="s">
        <v>834</v>
      </c>
      <c r="J16" s="20" t="s">
        <v>80</v>
      </c>
      <c r="K16" s="20"/>
    </row>
    <row r="17" spans="1:11" ht="219.75" customHeight="1" x14ac:dyDescent="0.15">
      <c r="A17" s="20" t="s">
        <v>835</v>
      </c>
      <c r="B17" s="20" t="s">
        <v>827</v>
      </c>
      <c r="C17" s="20" t="s">
        <v>777</v>
      </c>
      <c r="D17" s="25" t="s">
        <v>836</v>
      </c>
      <c r="E17" s="25" t="s">
        <v>16</v>
      </c>
      <c r="F17" s="25" t="s">
        <v>833</v>
      </c>
      <c r="G17" s="26" t="s">
        <v>2492</v>
      </c>
      <c r="H17" s="26" t="s">
        <v>78</v>
      </c>
      <c r="I17" s="20" t="s">
        <v>837</v>
      </c>
      <c r="J17" s="20" t="s">
        <v>80</v>
      </c>
      <c r="K17" s="20"/>
    </row>
    <row r="18" spans="1:11" ht="79.5" customHeight="1" x14ac:dyDescent="0.15">
      <c r="A18" s="20" t="s">
        <v>838</v>
      </c>
      <c r="B18" s="20" t="s">
        <v>827</v>
      </c>
      <c r="C18" s="20" t="s">
        <v>777</v>
      </c>
      <c r="D18" s="25" t="s">
        <v>839</v>
      </c>
      <c r="E18" s="25" t="s">
        <v>16</v>
      </c>
      <c r="F18" s="25" t="s">
        <v>840</v>
      </c>
      <c r="G18" s="26" t="s">
        <v>2493</v>
      </c>
      <c r="H18" s="26" t="s">
        <v>78</v>
      </c>
      <c r="I18" s="20" t="s">
        <v>841</v>
      </c>
      <c r="J18" s="20" t="s">
        <v>80</v>
      </c>
      <c r="K18" s="20"/>
    </row>
    <row r="19" spans="1:11" ht="79.5" customHeight="1" x14ac:dyDescent="0.15">
      <c r="A19" s="20" t="s">
        <v>842</v>
      </c>
      <c r="B19" s="20" t="s">
        <v>843</v>
      </c>
      <c r="C19" s="20" t="s">
        <v>777</v>
      </c>
      <c r="D19" s="25" t="s">
        <v>844</v>
      </c>
      <c r="E19" s="25" t="s">
        <v>16</v>
      </c>
      <c r="F19" s="25" t="s">
        <v>845</v>
      </c>
      <c r="G19" s="26" t="s">
        <v>2494</v>
      </c>
      <c r="H19" s="26" t="s">
        <v>78</v>
      </c>
      <c r="I19" s="20" t="s">
        <v>846</v>
      </c>
      <c r="J19" s="20" t="s">
        <v>80</v>
      </c>
      <c r="K19" s="20"/>
    </row>
    <row r="20" spans="1:11" ht="79.5" customHeight="1" x14ac:dyDescent="0.15">
      <c r="A20" s="20" t="s">
        <v>847</v>
      </c>
      <c r="B20" s="20" t="s">
        <v>843</v>
      </c>
      <c r="C20" s="20" t="s">
        <v>777</v>
      </c>
      <c r="D20" s="25" t="s">
        <v>848</v>
      </c>
      <c r="E20" s="25" t="s">
        <v>16</v>
      </c>
      <c r="F20" s="25" t="s">
        <v>845</v>
      </c>
      <c r="G20" s="26" t="s">
        <v>2495</v>
      </c>
      <c r="H20" s="26" t="s">
        <v>78</v>
      </c>
      <c r="I20" s="20" t="s">
        <v>849</v>
      </c>
      <c r="J20" s="20" t="s">
        <v>80</v>
      </c>
      <c r="K20" s="20"/>
    </row>
    <row r="21" spans="1:11" ht="224.25" customHeight="1" x14ac:dyDescent="0.15">
      <c r="A21" s="20" t="s">
        <v>850</v>
      </c>
      <c r="B21" s="20" t="s">
        <v>843</v>
      </c>
      <c r="C21" s="20" t="s">
        <v>777</v>
      </c>
      <c r="D21" s="25" t="s">
        <v>851</v>
      </c>
      <c r="E21" s="25" t="s">
        <v>16</v>
      </c>
      <c r="F21" s="25" t="s">
        <v>845</v>
      </c>
      <c r="G21" s="26" t="s">
        <v>2496</v>
      </c>
      <c r="H21" s="26" t="s">
        <v>78</v>
      </c>
      <c r="I21" s="20" t="s">
        <v>852</v>
      </c>
      <c r="J21" s="20" t="s">
        <v>80</v>
      </c>
      <c r="K21" s="20"/>
    </row>
    <row r="22" spans="1:11" ht="75" customHeight="1" x14ac:dyDescent="0.15">
      <c r="A22" s="20" t="s">
        <v>853</v>
      </c>
      <c r="B22" s="20" t="s">
        <v>843</v>
      </c>
      <c r="C22" s="20" t="s">
        <v>777</v>
      </c>
      <c r="D22" s="25" t="s">
        <v>854</v>
      </c>
      <c r="E22" s="25" t="s">
        <v>16</v>
      </c>
      <c r="F22" s="25" t="s">
        <v>845</v>
      </c>
      <c r="G22" s="26" t="s">
        <v>2497</v>
      </c>
      <c r="H22" s="26" t="s">
        <v>78</v>
      </c>
      <c r="I22" s="20" t="s">
        <v>855</v>
      </c>
      <c r="J22" s="20" t="s">
        <v>80</v>
      </c>
      <c r="K22" s="20"/>
    </row>
    <row r="23" spans="1:11" ht="79.5" customHeight="1" x14ac:dyDescent="0.15">
      <c r="A23" s="27" t="s">
        <v>856</v>
      </c>
      <c r="B23" s="28" t="s">
        <v>843</v>
      </c>
      <c r="C23" s="28" t="s">
        <v>777</v>
      </c>
      <c r="D23" s="29" t="s">
        <v>857</v>
      </c>
      <c r="E23" s="28" t="s">
        <v>814</v>
      </c>
      <c r="F23" s="29" t="s">
        <v>815</v>
      </c>
      <c r="G23" s="29" t="s">
        <v>2498</v>
      </c>
      <c r="H23" s="28" t="s">
        <v>816</v>
      </c>
      <c r="I23" s="29" t="s">
        <v>858</v>
      </c>
      <c r="J23" s="28" t="s">
        <v>80</v>
      </c>
      <c r="K23" s="29" t="s">
        <v>2499</v>
      </c>
    </row>
    <row r="24" spans="1:11" ht="79.5" customHeight="1" x14ac:dyDescent="0.15">
      <c r="A24" s="20" t="s">
        <v>859</v>
      </c>
      <c r="B24" s="20" t="s">
        <v>860</v>
      </c>
      <c r="C24" s="20" t="s">
        <v>777</v>
      </c>
      <c r="D24" s="25" t="s">
        <v>861</v>
      </c>
      <c r="E24" s="25" t="s">
        <v>16</v>
      </c>
      <c r="F24" s="25" t="s">
        <v>862</v>
      </c>
      <c r="G24" s="26" t="s">
        <v>2500</v>
      </c>
      <c r="H24" s="26" t="s">
        <v>78</v>
      </c>
      <c r="I24" s="20" t="s">
        <v>863</v>
      </c>
      <c r="J24" s="20" t="s">
        <v>80</v>
      </c>
      <c r="K24" s="20"/>
    </row>
    <row r="25" spans="1:11" ht="79.5" customHeight="1" x14ac:dyDescent="0.15">
      <c r="A25" s="20" t="s">
        <v>864</v>
      </c>
      <c r="B25" s="20" t="s">
        <v>860</v>
      </c>
      <c r="C25" s="20" t="s">
        <v>777</v>
      </c>
      <c r="D25" s="25" t="s">
        <v>865</v>
      </c>
      <c r="E25" s="25" t="s">
        <v>16</v>
      </c>
      <c r="F25" s="25" t="s">
        <v>845</v>
      </c>
      <c r="G25" s="26" t="s">
        <v>2501</v>
      </c>
      <c r="H25" s="26" t="s">
        <v>78</v>
      </c>
      <c r="I25" s="20" t="s">
        <v>866</v>
      </c>
      <c r="J25" s="20" t="s">
        <v>80</v>
      </c>
      <c r="K25" s="20"/>
    </row>
    <row r="26" spans="1:11" ht="79.5" customHeight="1" x14ac:dyDescent="0.15">
      <c r="A26" s="20" t="s">
        <v>867</v>
      </c>
      <c r="B26" s="20" t="s">
        <v>860</v>
      </c>
      <c r="C26" s="20" t="s">
        <v>777</v>
      </c>
      <c r="D26" s="25" t="s">
        <v>868</v>
      </c>
      <c r="E26" s="25" t="s">
        <v>16</v>
      </c>
      <c r="F26" s="25" t="s">
        <v>845</v>
      </c>
      <c r="G26" s="26" t="s">
        <v>2502</v>
      </c>
      <c r="H26" s="26" t="s">
        <v>78</v>
      </c>
      <c r="I26" s="20" t="s">
        <v>869</v>
      </c>
      <c r="J26" s="20" t="s">
        <v>80</v>
      </c>
      <c r="K26" s="20"/>
    </row>
    <row r="27" spans="1:11" ht="79.5" customHeight="1" x14ac:dyDescent="0.15">
      <c r="A27" s="20" t="s">
        <v>870</v>
      </c>
      <c r="B27" s="20" t="s">
        <v>860</v>
      </c>
      <c r="C27" s="20" t="s">
        <v>777</v>
      </c>
      <c r="D27" s="25" t="s">
        <v>871</v>
      </c>
      <c r="E27" s="25" t="s">
        <v>16</v>
      </c>
      <c r="F27" s="25" t="s">
        <v>845</v>
      </c>
      <c r="G27" s="26" t="s">
        <v>2503</v>
      </c>
      <c r="H27" s="26" t="s">
        <v>78</v>
      </c>
      <c r="I27" s="20" t="s">
        <v>872</v>
      </c>
      <c r="J27" s="20" t="s">
        <v>80</v>
      </c>
      <c r="K27" s="20"/>
    </row>
    <row r="28" spans="1:11" ht="75" customHeight="1" x14ac:dyDescent="0.15">
      <c r="A28" s="20" t="s">
        <v>873</v>
      </c>
      <c r="B28" s="20" t="s">
        <v>860</v>
      </c>
      <c r="C28" s="20" t="s">
        <v>777</v>
      </c>
      <c r="D28" s="25" t="s">
        <v>874</v>
      </c>
      <c r="E28" s="25" t="s">
        <v>16</v>
      </c>
      <c r="F28" s="25" t="s">
        <v>845</v>
      </c>
      <c r="G28" s="26" t="s">
        <v>2504</v>
      </c>
      <c r="H28" s="26" t="s">
        <v>78</v>
      </c>
      <c r="I28" s="20" t="s">
        <v>875</v>
      </c>
      <c r="J28" s="20" t="s">
        <v>80</v>
      </c>
      <c r="K28" s="20"/>
    </row>
    <row r="29" spans="1:11" ht="118.75" customHeight="1" x14ac:dyDescent="0.15">
      <c r="A29" s="20" t="s">
        <v>876</v>
      </c>
      <c r="B29" s="20" t="s">
        <v>860</v>
      </c>
      <c r="C29" s="20" t="s">
        <v>777</v>
      </c>
      <c r="D29" s="25" t="s">
        <v>877</v>
      </c>
      <c r="E29" s="25" t="s">
        <v>16</v>
      </c>
      <c r="F29" s="25" t="s">
        <v>845</v>
      </c>
      <c r="G29" s="26" t="s">
        <v>2505</v>
      </c>
      <c r="H29" s="26" t="s">
        <v>78</v>
      </c>
      <c r="I29" s="20" t="s">
        <v>878</v>
      </c>
      <c r="J29" s="20" t="s">
        <v>80</v>
      </c>
      <c r="K29" s="20" t="s">
        <v>2506</v>
      </c>
    </row>
    <row r="30" spans="1:11" ht="79.5" customHeight="1" x14ac:dyDescent="0.15">
      <c r="A30" s="27" t="s">
        <v>879</v>
      </c>
      <c r="B30" s="28" t="s">
        <v>860</v>
      </c>
      <c r="C30" s="28" t="s">
        <v>777</v>
      </c>
      <c r="D30" s="29" t="s">
        <v>880</v>
      </c>
      <c r="E30" s="28" t="s">
        <v>815</v>
      </c>
      <c r="F30" s="29" t="s">
        <v>815</v>
      </c>
      <c r="G30" s="29" t="s">
        <v>2507</v>
      </c>
      <c r="H30" s="28" t="s">
        <v>815</v>
      </c>
      <c r="I30" s="29" t="s">
        <v>881</v>
      </c>
      <c r="J30" s="28" t="s">
        <v>80</v>
      </c>
      <c r="K30" s="29" t="s">
        <v>2508</v>
      </c>
    </row>
    <row r="31" spans="1:11" ht="79.5" customHeight="1" x14ac:dyDescent="0.15">
      <c r="A31" s="20" t="s">
        <v>882</v>
      </c>
      <c r="B31" s="20" t="s">
        <v>883</v>
      </c>
      <c r="C31" s="20" t="s">
        <v>884</v>
      </c>
      <c r="D31" s="25" t="s">
        <v>885</v>
      </c>
      <c r="E31" s="25" t="s">
        <v>16</v>
      </c>
      <c r="F31" s="25" t="s">
        <v>886</v>
      </c>
      <c r="G31" s="26" t="s">
        <v>2509</v>
      </c>
      <c r="H31" s="26" t="s">
        <v>78</v>
      </c>
      <c r="I31" s="20" t="s">
        <v>887</v>
      </c>
      <c r="J31" s="20" t="s">
        <v>80</v>
      </c>
      <c r="K31" s="20"/>
    </row>
    <row r="32" spans="1:11" ht="75" customHeight="1" x14ac:dyDescent="0.15">
      <c r="A32" s="20" t="s">
        <v>888</v>
      </c>
      <c r="B32" s="20" t="s">
        <v>883</v>
      </c>
      <c r="C32" s="20" t="s">
        <v>884</v>
      </c>
      <c r="D32" s="25" t="s">
        <v>889</v>
      </c>
      <c r="E32" s="25" t="s">
        <v>16</v>
      </c>
      <c r="F32" s="25" t="s">
        <v>886</v>
      </c>
      <c r="G32" s="26" t="s">
        <v>2510</v>
      </c>
      <c r="H32" s="26" t="s">
        <v>78</v>
      </c>
      <c r="I32" s="20" t="s">
        <v>890</v>
      </c>
      <c r="J32" s="20" t="s">
        <v>80</v>
      </c>
      <c r="K32" s="20"/>
    </row>
    <row r="33" spans="1:11" ht="79.5" customHeight="1" x14ac:dyDescent="0.15">
      <c r="A33" s="20" t="s">
        <v>891</v>
      </c>
      <c r="B33" s="20" t="s">
        <v>883</v>
      </c>
      <c r="C33" s="20" t="s">
        <v>884</v>
      </c>
      <c r="D33" s="25" t="s">
        <v>892</v>
      </c>
      <c r="E33" s="25" t="s">
        <v>16</v>
      </c>
      <c r="F33" s="25" t="s">
        <v>886</v>
      </c>
      <c r="G33" s="26" t="s">
        <v>2511</v>
      </c>
      <c r="H33" s="26" t="s">
        <v>78</v>
      </c>
      <c r="I33" s="20" t="s">
        <v>893</v>
      </c>
      <c r="J33" s="20" t="s">
        <v>80</v>
      </c>
      <c r="K33" s="20"/>
    </row>
    <row r="34" spans="1:11" ht="79.5" customHeight="1" x14ac:dyDescent="0.15">
      <c r="A34" s="20" t="s">
        <v>894</v>
      </c>
      <c r="B34" s="20" t="s">
        <v>883</v>
      </c>
      <c r="C34" s="20" t="s">
        <v>884</v>
      </c>
      <c r="D34" s="25" t="s">
        <v>895</v>
      </c>
      <c r="E34" s="25" t="s">
        <v>16</v>
      </c>
      <c r="F34" s="25" t="s">
        <v>896</v>
      </c>
      <c r="G34" s="26" t="s">
        <v>2512</v>
      </c>
      <c r="H34" s="26" t="s">
        <v>78</v>
      </c>
      <c r="I34" s="20" t="s">
        <v>897</v>
      </c>
      <c r="J34" s="20" t="s">
        <v>80</v>
      </c>
      <c r="K34" s="20"/>
    </row>
    <row r="35" spans="1:11" ht="79.5" customHeight="1" x14ac:dyDescent="0.15">
      <c r="A35" s="27" t="s">
        <v>898</v>
      </c>
      <c r="B35" s="28" t="s">
        <v>883</v>
      </c>
      <c r="C35" s="28" t="s">
        <v>884</v>
      </c>
      <c r="D35" s="29" t="s">
        <v>857</v>
      </c>
      <c r="E35" s="28" t="s">
        <v>814</v>
      </c>
      <c r="F35" s="29" t="s">
        <v>815</v>
      </c>
      <c r="G35" s="29" t="s">
        <v>2513</v>
      </c>
      <c r="H35" s="28" t="s">
        <v>816</v>
      </c>
      <c r="I35" s="29" t="s">
        <v>899</v>
      </c>
      <c r="J35" s="28" t="s">
        <v>80</v>
      </c>
      <c r="K35" s="29" t="s">
        <v>2514</v>
      </c>
    </row>
    <row r="36" spans="1:11" ht="79.5" customHeight="1" x14ac:dyDescent="0.15">
      <c r="A36" s="20" t="s">
        <v>900</v>
      </c>
      <c r="B36" s="20" t="s">
        <v>901</v>
      </c>
      <c r="C36" s="20" t="s">
        <v>884</v>
      </c>
      <c r="D36" s="25" t="s">
        <v>902</v>
      </c>
      <c r="E36" s="25" t="s">
        <v>16</v>
      </c>
      <c r="F36" s="25" t="s">
        <v>903</v>
      </c>
      <c r="G36" s="26" t="s">
        <v>2515</v>
      </c>
      <c r="H36" s="26" t="s">
        <v>78</v>
      </c>
      <c r="I36" s="20" t="s">
        <v>904</v>
      </c>
      <c r="J36" s="20" t="s">
        <v>80</v>
      </c>
      <c r="K36" s="20"/>
    </row>
    <row r="37" spans="1:11" ht="79.5" customHeight="1" x14ac:dyDescent="0.15">
      <c r="A37" s="20" t="s">
        <v>905</v>
      </c>
      <c r="B37" s="20" t="s">
        <v>901</v>
      </c>
      <c r="C37" s="20" t="s">
        <v>884</v>
      </c>
      <c r="D37" s="25" t="s">
        <v>906</v>
      </c>
      <c r="E37" s="25" t="s">
        <v>16</v>
      </c>
      <c r="F37" s="25" t="s">
        <v>907</v>
      </c>
      <c r="G37" s="26" t="s">
        <v>2516</v>
      </c>
      <c r="H37" s="26" t="s">
        <v>78</v>
      </c>
      <c r="I37" s="20" t="s">
        <v>908</v>
      </c>
      <c r="J37" s="20" t="s">
        <v>80</v>
      </c>
      <c r="K37" s="20"/>
    </row>
    <row r="38" spans="1:11" ht="79.5" customHeight="1" x14ac:dyDescent="0.15">
      <c r="A38" s="20" t="s">
        <v>909</v>
      </c>
      <c r="B38" s="20" t="s">
        <v>901</v>
      </c>
      <c r="C38" s="20" t="s">
        <v>884</v>
      </c>
      <c r="D38" s="25" t="s">
        <v>910</v>
      </c>
      <c r="E38" s="25" t="s">
        <v>16</v>
      </c>
      <c r="F38" s="25" t="s">
        <v>903</v>
      </c>
      <c r="G38" s="26" t="s">
        <v>2517</v>
      </c>
      <c r="H38" s="26" t="s">
        <v>78</v>
      </c>
      <c r="I38" s="20" t="s">
        <v>911</v>
      </c>
      <c r="J38" s="20" t="s">
        <v>80</v>
      </c>
      <c r="K38" s="20"/>
    </row>
    <row r="39" spans="1:11" ht="79.5" customHeight="1" x14ac:dyDescent="0.15">
      <c r="A39" s="20" t="s">
        <v>912</v>
      </c>
      <c r="B39" s="20" t="s">
        <v>901</v>
      </c>
      <c r="C39" s="20" t="s">
        <v>884</v>
      </c>
      <c r="D39" s="25" t="s">
        <v>913</v>
      </c>
      <c r="E39" s="25" t="s">
        <v>16</v>
      </c>
      <c r="F39" s="25" t="s">
        <v>903</v>
      </c>
      <c r="G39" s="26" t="s">
        <v>2518</v>
      </c>
      <c r="H39" s="26" t="s">
        <v>78</v>
      </c>
      <c r="I39" s="20" t="s">
        <v>914</v>
      </c>
      <c r="J39" s="20" t="s">
        <v>80</v>
      </c>
      <c r="K39" s="20"/>
    </row>
    <row r="40" spans="1:11" ht="79.5" customHeight="1" x14ac:dyDescent="0.15">
      <c r="A40" s="20" t="s">
        <v>915</v>
      </c>
      <c r="B40" s="20" t="s">
        <v>916</v>
      </c>
      <c r="C40" s="20" t="s">
        <v>884</v>
      </c>
      <c r="D40" s="25" t="s">
        <v>917</v>
      </c>
      <c r="E40" s="25" t="s">
        <v>16</v>
      </c>
      <c r="F40" s="25" t="s">
        <v>903</v>
      </c>
      <c r="G40" s="26" t="s">
        <v>2519</v>
      </c>
      <c r="H40" s="26" t="s">
        <v>78</v>
      </c>
      <c r="I40" s="20" t="s">
        <v>918</v>
      </c>
      <c r="J40" s="20" t="s">
        <v>80</v>
      </c>
      <c r="K40" s="20"/>
    </row>
    <row r="41" spans="1:11" ht="79.5" customHeight="1" x14ac:dyDescent="0.15">
      <c r="A41" s="20" t="s">
        <v>919</v>
      </c>
      <c r="B41" s="20" t="s">
        <v>916</v>
      </c>
      <c r="C41" s="20" t="s">
        <v>884</v>
      </c>
      <c r="D41" s="25" t="s">
        <v>920</v>
      </c>
      <c r="E41" s="25" t="s">
        <v>16</v>
      </c>
      <c r="F41" s="25" t="s">
        <v>903</v>
      </c>
      <c r="G41" s="26" t="s">
        <v>2520</v>
      </c>
      <c r="H41" s="26" t="s">
        <v>78</v>
      </c>
      <c r="I41" s="20" t="s">
        <v>921</v>
      </c>
      <c r="J41" s="20" t="s">
        <v>80</v>
      </c>
      <c r="K41" s="20"/>
    </row>
    <row r="42" spans="1:11" ht="75" customHeight="1" x14ac:dyDescent="0.15">
      <c r="A42" s="20" t="s">
        <v>922</v>
      </c>
      <c r="B42" s="20" t="s">
        <v>916</v>
      </c>
      <c r="C42" s="20" t="s">
        <v>884</v>
      </c>
      <c r="D42" s="25" t="s">
        <v>923</v>
      </c>
      <c r="E42" s="25" t="s">
        <v>16</v>
      </c>
      <c r="F42" s="25" t="s">
        <v>903</v>
      </c>
      <c r="G42" s="26" t="s">
        <v>2521</v>
      </c>
      <c r="H42" s="26" t="s">
        <v>78</v>
      </c>
      <c r="I42" s="20" t="s">
        <v>924</v>
      </c>
      <c r="J42" s="20" t="s">
        <v>80</v>
      </c>
      <c r="K42" s="20"/>
    </row>
    <row r="43" spans="1:11" ht="79.5" customHeight="1" x14ac:dyDescent="0.15">
      <c r="A43" s="20" t="s">
        <v>925</v>
      </c>
      <c r="B43" s="20" t="s">
        <v>916</v>
      </c>
      <c r="C43" s="20" t="s">
        <v>884</v>
      </c>
      <c r="D43" s="25" t="s">
        <v>926</v>
      </c>
      <c r="E43" s="25" t="s">
        <v>16</v>
      </c>
      <c r="F43" s="25" t="s">
        <v>907</v>
      </c>
      <c r="G43" s="26" t="s">
        <v>2522</v>
      </c>
      <c r="H43" s="26" t="s">
        <v>78</v>
      </c>
      <c r="I43" s="20" t="s">
        <v>927</v>
      </c>
      <c r="J43" s="20" t="s">
        <v>80</v>
      </c>
      <c r="K43" s="20"/>
    </row>
    <row r="44" spans="1:11" ht="79.5" customHeight="1" x14ac:dyDescent="0.15">
      <c r="A44" s="20" t="s">
        <v>928</v>
      </c>
      <c r="B44" s="20" t="s">
        <v>929</v>
      </c>
      <c r="C44" s="20" t="s">
        <v>884</v>
      </c>
      <c r="D44" s="25" t="s">
        <v>930</v>
      </c>
      <c r="E44" s="25" t="s">
        <v>16</v>
      </c>
      <c r="F44" s="25" t="s">
        <v>198</v>
      </c>
      <c r="G44" s="26" t="s">
        <v>2523</v>
      </c>
      <c r="H44" s="26" t="s">
        <v>78</v>
      </c>
      <c r="I44" s="20" t="s">
        <v>931</v>
      </c>
      <c r="J44" s="20" t="s">
        <v>80</v>
      </c>
      <c r="K44" s="20"/>
    </row>
    <row r="45" spans="1:11" ht="79.5" customHeight="1" x14ac:dyDescent="0.15">
      <c r="A45" s="20" t="s">
        <v>932</v>
      </c>
      <c r="B45" s="20" t="s">
        <v>929</v>
      </c>
      <c r="C45" s="20" t="s">
        <v>884</v>
      </c>
      <c r="D45" s="25" t="s">
        <v>933</v>
      </c>
      <c r="E45" s="25" t="s">
        <v>16</v>
      </c>
      <c r="F45" s="25" t="s">
        <v>934</v>
      </c>
      <c r="G45" s="26" t="s">
        <v>2524</v>
      </c>
      <c r="H45" s="26" t="s">
        <v>78</v>
      </c>
      <c r="I45" s="20" t="s">
        <v>935</v>
      </c>
      <c r="J45" s="20" t="s">
        <v>80</v>
      </c>
      <c r="K45" s="20"/>
    </row>
    <row r="46" spans="1:11" ht="79.5" customHeight="1" x14ac:dyDescent="0.15">
      <c r="A46" s="27" t="s">
        <v>936</v>
      </c>
      <c r="B46" s="28" t="s">
        <v>929</v>
      </c>
      <c r="C46" s="28" t="s">
        <v>884</v>
      </c>
      <c r="D46" s="29" t="s">
        <v>857</v>
      </c>
      <c r="E46" s="28" t="s">
        <v>814</v>
      </c>
      <c r="F46" s="29" t="s">
        <v>815</v>
      </c>
      <c r="G46" s="29" t="s">
        <v>2525</v>
      </c>
      <c r="H46" s="28" t="s">
        <v>816</v>
      </c>
      <c r="I46" s="29" t="s">
        <v>937</v>
      </c>
      <c r="J46" s="28" t="s">
        <v>80</v>
      </c>
      <c r="K46" s="29" t="s">
        <v>2514</v>
      </c>
    </row>
    <row r="47" spans="1:11" ht="79.5" customHeight="1" x14ac:dyDescent="0.15">
      <c r="A47" s="20" t="s">
        <v>938</v>
      </c>
      <c r="B47" s="20" t="s">
        <v>929</v>
      </c>
      <c r="C47" s="20" t="s">
        <v>884</v>
      </c>
      <c r="D47" s="25" t="s">
        <v>939</v>
      </c>
      <c r="E47" s="25" t="s">
        <v>16</v>
      </c>
      <c r="F47" s="25" t="s">
        <v>934</v>
      </c>
      <c r="G47" s="26" t="s">
        <v>2526</v>
      </c>
      <c r="H47" s="26" t="s">
        <v>78</v>
      </c>
      <c r="I47" s="20" t="s">
        <v>940</v>
      </c>
      <c r="J47" s="20" t="s">
        <v>80</v>
      </c>
      <c r="K47" s="20"/>
    </row>
    <row r="48" spans="1:11" ht="75" customHeight="1" x14ac:dyDescent="0.15">
      <c r="A48" s="20" t="s">
        <v>941</v>
      </c>
      <c r="B48" s="20" t="s">
        <v>929</v>
      </c>
      <c r="C48" s="20" t="s">
        <v>884</v>
      </c>
      <c r="D48" s="25" t="s">
        <v>942</v>
      </c>
      <c r="E48" s="25" t="s">
        <v>16</v>
      </c>
      <c r="F48" s="25" t="s">
        <v>198</v>
      </c>
      <c r="G48" s="26" t="s">
        <v>2527</v>
      </c>
      <c r="H48" s="26" t="s">
        <v>78</v>
      </c>
      <c r="I48" s="20" t="s">
        <v>943</v>
      </c>
      <c r="J48" s="20" t="s">
        <v>80</v>
      </c>
      <c r="K48" s="20"/>
    </row>
    <row r="49" spans="1:11" ht="79.5" customHeight="1" x14ac:dyDescent="0.15">
      <c r="A49" s="20" t="s">
        <v>944</v>
      </c>
      <c r="B49" s="20" t="s">
        <v>945</v>
      </c>
      <c r="C49" s="20" t="s">
        <v>884</v>
      </c>
      <c r="D49" s="25" t="s">
        <v>946</v>
      </c>
      <c r="E49" s="25" t="s">
        <v>16</v>
      </c>
      <c r="F49" s="25" t="s">
        <v>198</v>
      </c>
      <c r="G49" s="26" t="s">
        <v>2528</v>
      </c>
      <c r="H49" s="26" t="s">
        <v>78</v>
      </c>
      <c r="I49" s="20" t="s">
        <v>947</v>
      </c>
      <c r="J49" s="20" t="s">
        <v>80</v>
      </c>
      <c r="K49" s="20"/>
    </row>
    <row r="50" spans="1:11" ht="79.5" customHeight="1" x14ac:dyDescent="0.15">
      <c r="A50" s="20" t="s">
        <v>948</v>
      </c>
      <c r="B50" s="20" t="s">
        <v>945</v>
      </c>
      <c r="C50" s="20" t="s">
        <v>884</v>
      </c>
      <c r="D50" s="25" t="s">
        <v>949</v>
      </c>
      <c r="E50" s="25" t="s">
        <v>16</v>
      </c>
      <c r="F50" s="25" t="s">
        <v>198</v>
      </c>
      <c r="G50" s="26" t="s">
        <v>2529</v>
      </c>
      <c r="H50" s="26" t="s">
        <v>78</v>
      </c>
      <c r="I50" s="20" t="s">
        <v>950</v>
      </c>
      <c r="J50" s="20" t="s">
        <v>80</v>
      </c>
      <c r="K50" s="20"/>
    </row>
    <row r="51" spans="1:11" ht="79.5" customHeight="1" x14ac:dyDescent="0.15">
      <c r="A51" s="20" t="s">
        <v>951</v>
      </c>
      <c r="B51" s="20" t="s">
        <v>945</v>
      </c>
      <c r="C51" s="20" t="s">
        <v>884</v>
      </c>
      <c r="D51" s="25" t="s">
        <v>952</v>
      </c>
      <c r="E51" s="25" t="s">
        <v>16</v>
      </c>
      <c r="F51" s="25" t="s">
        <v>953</v>
      </c>
      <c r="G51" s="26" t="s">
        <v>2530</v>
      </c>
      <c r="H51" s="26" t="s">
        <v>78</v>
      </c>
      <c r="I51" s="20" t="s">
        <v>954</v>
      </c>
      <c r="J51" s="20" t="s">
        <v>80</v>
      </c>
      <c r="K51" s="20"/>
    </row>
    <row r="52" spans="1:11" ht="75" customHeight="1" x14ac:dyDescent="0.15">
      <c r="A52" s="20" t="s">
        <v>955</v>
      </c>
      <c r="B52" s="20" t="s">
        <v>945</v>
      </c>
      <c r="C52" s="20" t="s">
        <v>884</v>
      </c>
      <c r="D52" s="25" t="s">
        <v>956</v>
      </c>
      <c r="E52" s="25" t="s">
        <v>16</v>
      </c>
      <c r="F52" s="25" t="s">
        <v>198</v>
      </c>
      <c r="G52" s="26" t="s">
        <v>2531</v>
      </c>
      <c r="H52" s="26" t="s">
        <v>78</v>
      </c>
      <c r="I52" s="20" t="s">
        <v>957</v>
      </c>
      <c r="J52" s="20" t="s">
        <v>80</v>
      </c>
      <c r="K52" s="20"/>
    </row>
    <row r="53" spans="1:11" ht="79.5" customHeight="1" x14ac:dyDescent="0.15">
      <c r="A53" s="27" t="s">
        <v>958</v>
      </c>
      <c r="B53" s="28" t="s">
        <v>945</v>
      </c>
      <c r="C53" s="28" t="s">
        <v>884</v>
      </c>
      <c r="D53" s="29" t="s">
        <v>959</v>
      </c>
      <c r="E53" s="28" t="s">
        <v>815</v>
      </c>
      <c r="F53" s="29" t="s">
        <v>815</v>
      </c>
      <c r="G53" s="29" t="s">
        <v>2532</v>
      </c>
      <c r="H53" s="28" t="s">
        <v>815</v>
      </c>
      <c r="I53" s="29" t="s">
        <v>960</v>
      </c>
      <c r="J53" s="28" t="s">
        <v>80</v>
      </c>
      <c r="K53" s="29" t="s">
        <v>2533</v>
      </c>
    </row>
    <row r="54" spans="1:11" ht="211.25" customHeight="1" x14ac:dyDescent="0.15">
      <c r="A54" s="20" t="s">
        <v>961</v>
      </c>
      <c r="B54" s="20" t="s">
        <v>962</v>
      </c>
      <c r="C54" s="20" t="s">
        <v>884</v>
      </c>
      <c r="D54" s="25" t="s">
        <v>963</v>
      </c>
      <c r="E54" s="25" t="s">
        <v>16</v>
      </c>
      <c r="F54" s="25" t="s">
        <v>964</v>
      </c>
      <c r="G54" s="26" t="s">
        <v>2534</v>
      </c>
      <c r="H54" s="26" t="s">
        <v>78</v>
      </c>
      <c r="I54" s="20" t="s">
        <v>965</v>
      </c>
      <c r="J54" s="20" t="s">
        <v>80</v>
      </c>
      <c r="K54" s="20"/>
    </row>
    <row r="55" spans="1:11" ht="79.5" customHeight="1" x14ac:dyDescent="0.15">
      <c r="A55" s="20" t="s">
        <v>966</v>
      </c>
      <c r="B55" s="20" t="s">
        <v>962</v>
      </c>
      <c r="C55" s="20" t="s">
        <v>884</v>
      </c>
      <c r="D55" s="25" t="s">
        <v>967</v>
      </c>
      <c r="E55" s="25" t="s">
        <v>16</v>
      </c>
      <c r="F55" s="25" t="s">
        <v>964</v>
      </c>
      <c r="G55" s="26" t="s">
        <v>2535</v>
      </c>
      <c r="H55" s="26" t="s">
        <v>78</v>
      </c>
      <c r="I55" s="20" t="s">
        <v>968</v>
      </c>
      <c r="J55" s="20" t="s">
        <v>80</v>
      </c>
      <c r="K55" s="20"/>
    </row>
    <row r="56" spans="1:11" ht="198" customHeight="1" x14ac:dyDescent="0.15">
      <c r="A56" s="20" t="s">
        <v>969</v>
      </c>
      <c r="B56" s="20" t="s">
        <v>962</v>
      </c>
      <c r="C56" s="20" t="s">
        <v>884</v>
      </c>
      <c r="D56" s="25" t="s">
        <v>970</v>
      </c>
      <c r="E56" s="25" t="s">
        <v>16</v>
      </c>
      <c r="F56" s="25" t="s">
        <v>971</v>
      </c>
      <c r="G56" s="26" t="s">
        <v>2536</v>
      </c>
      <c r="H56" s="26" t="s">
        <v>78</v>
      </c>
      <c r="I56" s="20" t="s">
        <v>972</v>
      </c>
      <c r="J56" s="20" t="s">
        <v>80</v>
      </c>
      <c r="K56" s="20"/>
    </row>
    <row r="57" spans="1:11" ht="219.75" customHeight="1" x14ac:dyDescent="0.15">
      <c r="A57" s="20" t="s">
        <v>973</v>
      </c>
      <c r="B57" s="20" t="s">
        <v>962</v>
      </c>
      <c r="C57" s="20" t="s">
        <v>884</v>
      </c>
      <c r="D57" s="25" t="s">
        <v>974</v>
      </c>
      <c r="E57" s="25" t="s">
        <v>16</v>
      </c>
      <c r="F57" s="25" t="s">
        <v>975</v>
      </c>
      <c r="G57" s="26" t="s">
        <v>2537</v>
      </c>
      <c r="H57" s="26" t="s">
        <v>78</v>
      </c>
      <c r="I57" s="20" t="s">
        <v>976</v>
      </c>
      <c r="J57" s="20" t="s">
        <v>80</v>
      </c>
      <c r="K57" s="20"/>
    </row>
    <row r="58" spans="1:11" ht="79.5" customHeight="1" x14ac:dyDescent="0.15">
      <c r="A58" s="27" t="s">
        <v>977</v>
      </c>
      <c r="B58" s="28" t="s">
        <v>978</v>
      </c>
      <c r="C58" s="28" t="s">
        <v>884</v>
      </c>
      <c r="D58" s="29" t="s">
        <v>857</v>
      </c>
      <c r="E58" s="28" t="s">
        <v>814</v>
      </c>
      <c r="F58" s="29" t="s">
        <v>815</v>
      </c>
      <c r="G58" s="29" t="s">
        <v>2538</v>
      </c>
      <c r="H58" s="28" t="s">
        <v>816</v>
      </c>
      <c r="I58" s="29" t="s">
        <v>979</v>
      </c>
      <c r="J58" s="28" t="s">
        <v>80</v>
      </c>
      <c r="K58" s="29" t="s">
        <v>2514</v>
      </c>
    </row>
    <row r="59" spans="1:11" ht="198" customHeight="1" x14ac:dyDescent="0.15">
      <c r="A59" s="20" t="s">
        <v>980</v>
      </c>
      <c r="B59" s="20" t="s">
        <v>978</v>
      </c>
      <c r="C59" s="20" t="s">
        <v>884</v>
      </c>
      <c r="D59" s="25" t="s">
        <v>981</v>
      </c>
      <c r="E59" s="25" t="s">
        <v>16</v>
      </c>
      <c r="F59" s="25" t="s">
        <v>982</v>
      </c>
      <c r="G59" s="26" t="s">
        <v>2539</v>
      </c>
      <c r="H59" s="26" t="s">
        <v>78</v>
      </c>
      <c r="I59" s="20" t="s">
        <v>983</v>
      </c>
      <c r="J59" s="20" t="s">
        <v>80</v>
      </c>
      <c r="K59" s="20"/>
    </row>
    <row r="60" spans="1:11" ht="79.5" customHeight="1" x14ac:dyDescent="0.15">
      <c r="A60" s="20" t="s">
        <v>984</v>
      </c>
      <c r="B60" s="20" t="s">
        <v>978</v>
      </c>
      <c r="C60" s="20" t="s">
        <v>884</v>
      </c>
      <c r="D60" s="25" t="s">
        <v>985</v>
      </c>
      <c r="E60" s="25" t="s">
        <v>16</v>
      </c>
      <c r="F60" s="25" t="s">
        <v>982</v>
      </c>
      <c r="G60" s="26" t="s">
        <v>2540</v>
      </c>
      <c r="H60" s="26" t="s">
        <v>78</v>
      </c>
      <c r="I60" s="20" t="s">
        <v>986</v>
      </c>
      <c r="J60" s="20" t="s">
        <v>80</v>
      </c>
      <c r="K60" s="20"/>
    </row>
    <row r="61" spans="1:11" ht="79.5" customHeight="1" x14ac:dyDescent="0.15">
      <c r="A61" s="20" t="s">
        <v>987</v>
      </c>
      <c r="B61" s="20" t="s">
        <v>978</v>
      </c>
      <c r="C61" s="20" t="s">
        <v>884</v>
      </c>
      <c r="D61" s="25" t="s">
        <v>988</v>
      </c>
      <c r="E61" s="25" t="s">
        <v>16</v>
      </c>
      <c r="F61" s="25" t="s">
        <v>982</v>
      </c>
      <c r="G61" s="26" t="s">
        <v>2541</v>
      </c>
      <c r="H61" s="26" t="s">
        <v>78</v>
      </c>
      <c r="I61" s="20" t="s">
        <v>989</v>
      </c>
      <c r="J61" s="20" t="s">
        <v>80</v>
      </c>
      <c r="K61" s="20"/>
    </row>
    <row r="62" spans="1:11" ht="75" customHeight="1" x14ac:dyDescent="0.15">
      <c r="A62" s="20" t="s">
        <v>990</v>
      </c>
      <c r="B62" s="20" t="s">
        <v>978</v>
      </c>
      <c r="C62" s="20" t="s">
        <v>884</v>
      </c>
      <c r="D62" s="25" t="s">
        <v>991</v>
      </c>
      <c r="E62" s="25" t="s">
        <v>16</v>
      </c>
      <c r="F62" s="25" t="s">
        <v>975</v>
      </c>
      <c r="G62" s="26" t="s">
        <v>2542</v>
      </c>
      <c r="H62" s="26" t="s">
        <v>78</v>
      </c>
      <c r="I62" s="20" t="s">
        <v>992</v>
      </c>
      <c r="J62" s="20" t="s">
        <v>80</v>
      </c>
      <c r="K62" s="20"/>
    </row>
    <row r="63" spans="1:11" ht="219.75" customHeight="1" x14ac:dyDescent="0.15">
      <c r="A63" s="20" t="s">
        <v>993</v>
      </c>
      <c r="B63" s="20" t="s">
        <v>994</v>
      </c>
      <c r="C63" s="20" t="s">
        <v>884</v>
      </c>
      <c r="D63" s="25" t="s">
        <v>995</v>
      </c>
      <c r="E63" s="25" t="s">
        <v>16</v>
      </c>
      <c r="F63" s="25" t="s">
        <v>964</v>
      </c>
      <c r="G63" s="26" t="s">
        <v>2543</v>
      </c>
      <c r="H63" s="26" t="s">
        <v>78</v>
      </c>
      <c r="I63" s="20" t="s">
        <v>996</v>
      </c>
      <c r="J63" s="20" t="s">
        <v>80</v>
      </c>
      <c r="K63" s="20"/>
    </row>
    <row r="64" spans="1:11" ht="219.75" customHeight="1" x14ac:dyDescent="0.15">
      <c r="A64" s="20" t="s">
        <v>997</v>
      </c>
      <c r="B64" s="20" t="s">
        <v>994</v>
      </c>
      <c r="C64" s="20" t="s">
        <v>884</v>
      </c>
      <c r="D64" s="25" t="s">
        <v>998</v>
      </c>
      <c r="E64" s="25" t="s">
        <v>16</v>
      </c>
      <c r="F64" s="25" t="s">
        <v>999</v>
      </c>
      <c r="G64" s="26" t="s">
        <v>2544</v>
      </c>
      <c r="H64" s="26" t="s">
        <v>78</v>
      </c>
      <c r="I64" s="20" t="s">
        <v>1000</v>
      </c>
      <c r="J64" s="20" t="s">
        <v>80</v>
      </c>
      <c r="K64" s="20"/>
    </row>
    <row r="65" spans="1:11" ht="224.25" customHeight="1" x14ac:dyDescent="0.15">
      <c r="A65" s="20" t="s">
        <v>1001</v>
      </c>
      <c r="B65" s="20" t="s">
        <v>994</v>
      </c>
      <c r="C65" s="20" t="s">
        <v>884</v>
      </c>
      <c r="D65" s="25" t="s">
        <v>1002</v>
      </c>
      <c r="E65" s="25" t="s">
        <v>16</v>
      </c>
      <c r="F65" s="25" t="s">
        <v>1003</v>
      </c>
      <c r="G65" s="26" t="s">
        <v>2545</v>
      </c>
      <c r="H65" s="26" t="s">
        <v>78</v>
      </c>
      <c r="I65" s="20" t="s">
        <v>1004</v>
      </c>
      <c r="J65" s="20" t="s">
        <v>80</v>
      </c>
      <c r="K65" s="20" t="s">
        <v>2546</v>
      </c>
    </row>
    <row r="66" spans="1:11" ht="79.5" customHeight="1" x14ac:dyDescent="0.15">
      <c r="A66" s="20" t="s">
        <v>1005</v>
      </c>
      <c r="B66" s="20" t="s">
        <v>994</v>
      </c>
      <c r="C66" s="20" t="s">
        <v>884</v>
      </c>
      <c r="D66" s="25" t="s">
        <v>1006</v>
      </c>
      <c r="E66" s="25" t="s">
        <v>16</v>
      </c>
      <c r="F66" s="25" t="s">
        <v>1007</v>
      </c>
      <c r="G66" s="26" t="s">
        <v>2547</v>
      </c>
      <c r="H66" s="26" t="s">
        <v>78</v>
      </c>
      <c r="I66" s="20" t="s">
        <v>1008</v>
      </c>
      <c r="J66" s="20" t="s">
        <v>80</v>
      </c>
      <c r="K66" s="20"/>
    </row>
    <row r="67" spans="1:11" ht="75" customHeight="1" x14ac:dyDescent="0.15">
      <c r="A67" s="20" t="s">
        <v>1009</v>
      </c>
      <c r="B67" s="20" t="s">
        <v>1010</v>
      </c>
      <c r="C67" s="20" t="s">
        <v>884</v>
      </c>
      <c r="D67" s="25" t="s">
        <v>1011</v>
      </c>
      <c r="E67" s="25" t="s">
        <v>16</v>
      </c>
      <c r="F67" s="25" t="s">
        <v>964</v>
      </c>
      <c r="G67" s="26" t="s">
        <v>2548</v>
      </c>
      <c r="H67" s="26" t="s">
        <v>78</v>
      </c>
      <c r="I67" s="20" t="s">
        <v>1012</v>
      </c>
      <c r="J67" s="20" t="s">
        <v>80</v>
      </c>
      <c r="K67" s="20"/>
    </row>
    <row r="68" spans="1:11" ht="79.5" customHeight="1" x14ac:dyDescent="0.15">
      <c r="A68" s="20" t="s">
        <v>1013</v>
      </c>
      <c r="B68" s="20" t="s">
        <v>1010</v>
      </c>
      <c r="C68" s="20" t="s">
        <v>884</v>
      </c>
      <c r="D68" s="25" t="s">
        <v>1014</v>
      </c>
      <c r="E68" s="25" t="s">
        <v>16</v>
      </c>
      <c r="F68" s="25" t="s">
        <v>964</v>
      </c>
      <c r="G68" s="26" t="s">
        <v>2549</v>
      </c>
      <c r="H68" s="26" t="s">
        <v>78</v>
      </c>
      <c r="I68" s="20" t="s">
        <v>1015</v>
      </c>
      <c r="J68" s="20" t="s">
        <v>80</v>
      </c>
      <c r="K68" s="20"/>
    </row>
    <row r="69" spans="1:11" ht="79.5" customHeight="1" x14ac:dyDescent="0.15">
      <c r="A69" s="27" t="s">
        <v>1016</v>
      </c>
      <c r="B69" s="28" t="s">
        <v>1010</v>
      </c>
      <c r="C69" s="28" t="s">
        <v>884</v>
      </c>
      <c r="D69" s="29" t="s">
        <v>857</v>
      </c>
      <c r="E69" s="28" t="s">
        <v>814</v>
      </c>
      <c r="F69" s="29" t="s">
        <v>815</v>
      </c>
      <c r="G69" s="29" t="s">
        <v>2550</v>
      </c>
      <c r="H69" s="28" t="s">
        <v>816</v>
      </c>
      <c r="I69" s="29" t="s">
        <v>1017</v>
      </c>
      <c r="J69" s="28" t="s">
        <v>80</v>
      </c>
      <c r="K69" s="29" t="s">
        <v>2514</v>
      </c>
    </row>
    <row r="70" spans="1:11" ht="79.5" customHeight="1" x14ac:dyDescent="0.15">
      <c r="A70" s="20" t="s">
        <v>1018</v>
      </c>
      <c r="B70" s="20" t="s">
        <v>1010</v>
      </c>
      <c r="C70" s="20" t="s">
        <v>884</v>
      </c>
      <c r="D70" s="25" t="s">
        <v>1019</v>
      </c>
      <c r="E70" s="25" t="s">
        <v>16</v>
      </c>
      <c r="F70" s="25" t="s">
        <v>964</v>
      </c>
      <c r="G70" s="26" t="s">
        <v>2551</v>
      </c>
      <c r="H70" s="26" t="s">
        <v>78</v>
      </c>
      <c r="I70" s="20" t="s">
        <v>1020</v>
      </c>
      <c r="J70" s="20" t="s">
        <v>80</v>
      </c>
      <c r="K70" s="20"/>
    </row>
    <row r="71" spans="1:11" ht="79.5" customHeight="1" x14ac:dyDescent="0.15">
      <c r="A71" s="20" t="s">
        <v>1021</v>
      </c>
      <c r="B71" s="20" t="s">
        <v>1010</v>
      </c>
      <c r="C71" s="20" t="s">
        <v>884</v>
      </c>
      <c r="D71" s="25" t="s">
        <v>1022</v>
      </c>
      <c r="E71" s="25" t="s">
        <v>16</v>
      </c>
      <c r="F71" s="25" t="s">
        <v>1023</v>
      </c>
      <c r="G71" s="26" t="s">
        <v>2552</v>
      </c>
      <c r="H71" s="26" t="s">
        <v>78</v>
      </c>
      <c r="I71" s="20" t="s">
        <v>1024</v>
      </c>
      <c r="J71" s="20" t="s">
        <v>80</v>
      </c>
      <c r="K71" s="20" t="s">
        <v>2546</v>
      </c>
    </row>
    <row r="72" spans="1:11" ht="75" customHeight="1" x14ac:dyDescent="0.15">
      <c r="A72" s="20" t="s">
        <v>1025</v>
      </c>
      <c r="B72" s="20" t="s">
        <v>1010</v>
      </c>
      <c r="C72" s="20" t="s">
        <v>884</v>
      </c>
      <c r="D72" s="25" t="s">
        <v>1026</v>
      </c>
      <c r="E72" s="25" t="s">
        <v>16</v>
      </c>
      <c r="F72" s="25" t="s">
        <v>815</v>
      </c>
      <c r="G72" s="26" t="s">
        <v>2553</v>
      </c>
      <c r="H72" s="26" t="s">
        <v>78</v>
      </c>
      <c r="I72" s="20" t="s">
        <v>1027</v>
      </c>
      <c r="J72" s="20" t="s">
        <v>80</v>
      </c>
      <c r="K72" s="20"/>
    </row>
    <row r="73" spans="1:11" ht="79.5" customHeight="1" x14ac:dyDescent="0.15">
      <c r="A73" s="20" t="s">
        <v>1028</v>
      </c>
      <c r="B73" s="20" t="s">
        <v>1010</v>
      </c>
      <c r="C73" s="20" t="s">
        <v>884</v>
      </c>
      <c r="D73" s="25" t="s">
        <v>1029</v>
      </c>
      <c r="E73" s="25" t="s">
        <v>16</v>
      </c>
      <c r="F73" s="25" t="s">
        <v>1030</v>
      </c>
      <c r="G73" s="26" t="s">
        <v>2554</v>
      </c>
      <c r="H73" s="26" t="s">
        <v>78</v>
      </c>
      <c r="I73" s="20" t="s">
        <v>1031</v>
      </c>
      <c r="J73" s="20" t="s">
        <v>80</v>
      </c>
      <c r="K73" s="20"/>
    </row>
    <row r="74" spans="1:11" ht="79.25" customHeight="1" x14ac:dyDescent="0.15">
      <c r="A74" s="20" t="s">
        <v>1032</v>
      </c>
      <c r="B74" s="20" t="s">
        <v>1010</v>
      </c>
      <c r="C74" s="20" t="s">
        <v>884</v>
      </c>
      <c r="D74" s="25" t="s">
        <v>1033</v>
      </c>
      <c r="E74" s="25" t="s">
        <v>16</v>
      </c>
      <c r="F74" s="25" t="s">
        <v>815</v>
      </c>
      <c r="G74" s="26" t="s">
        <v>2555</v>
      </c>
      <c r="H74" s="26" t="s">
        <v>78</v>
      </c>
      <c r="I74" s="20" t="s">
        <v>1034</v>
      </c>
      <c r="J74" s="20" t="s">
        <v>80</v>
      </c>
      <c r="K74" s="20"/>
    </row>
    <row r="75" spans="1:11" ht="79.5" customHeight="1" x14ac:dyDescent="0.15">
      <c r="A75" s="27" t="s">
        <v>1035</v>
      </c>
      <c r="B75" s="28" t="s">
        <v>1010</v>
      </c>
      <c r="C75" s="28" t="s">
        <v>884</v>
      </c>
      <c r="D75" s="29" t="s">
        <v>1036</v>
      </c>
      <c r="E75" s="28" t="s">
        <v>815</v>
      </c>
      <c r="F75" s="29" t="s">
        <v>815</v>
      </c>
      <c r="G75" s="29" t="s">
        <v>2556</v>
      </c>
      <c r="H75" s="28" t="s">
        <v>815</v>
      </c>
      <c r="I75" s="29" t="s">
        <v>1037</v>
      </c>
      <c r="J75" s="28" t="s">
        <v>80</v>
      </c>
      <c r="K75" s="29" t="s">
        <v>2508</v>
      </c>
    </row>
    <row r="76" spans="1:11" ht="79.5" customHeight="1" x14ac:dyDescent="0.15">
      <c r="A76" s="20" t="s">
        <v>1038</v>
      </c>
      <c r="B76" s="20" t="s">
        <v>1039</v>
      </c>
      <c r="C76" s="20" t="s">
        <v>1040</v>
      </c>
      <c r="D76" s="25" t="s">
        <v>1041</v>
      </c>
      <c r="E76" s="25" t="s">
        <v>16</v>
      </c>
      <c r="F76" s="25" t="s">
        <v>840</v>
      </c>
      <c r="G76" s="26" t="s">
        <v>2557</v>
      </c>
      <c r="H76" s="26" t="s">
        <v>78</v>
      </c>
      <c r="I76" s="20" t="s">
        <v>1042</v>
      </c>
      <c r="J76" s="20" t="s">
        <v>80</v>
      </c>
      <c r="K76" s="20"/>
    </row>
    <row r="77" spans="1:11" ht="79.5" customHeight="1" x14ac:dyDescent="0.15">
      <c r="A77" s="20" t="s">
        <v>1043</v>
      </c>
      <c r="B77" s="20" t="s">
        <v>1039</v>
      </c>
      <c r="C77" s="20" t="s">
        <v>1040</v>
      </c>
      <c r="D77" s="25" t="s">
        <v>1044</v>
      </c>
      <c r="E77" s="25" t="s">
        <v>16</v>
      </c>
      <c r="F77" s="25" t="s">
        <v>840</v>
      </c>
      <c r="G77" s="26" t="s">
        <v>2558</v>
      </c>
      <c r="H77" s="26" t="s">
        <v>78</v>
      </c>
      <c r="I77" s="20" t="s">
        <v>1045</v>
      </c>
      <c r="J77" s="20" t="s">
        <v>80</v>
      </c>
      <c r="K77" s="20"/>
    </row>
    <row r="78" spans="1:11" ht="79.5" customHeight="1" x14ac:dyDescent="0.15">
      <c r="A78" s="20" t="s">
        <v>1046</v>
      </c>
      <c r="B78" s="20" t="s">
        <v>1039</v>
      </c>
      <c r="C78" s="20" t="s">
        <v>1040</v>
      </c>
      <c r="D78" s="25" t="s">
        <v>1047</v>
      </c>
      <c r="E78" s="25" t="s">
        <v>16</v>
      </c>
      <c r="F78" s="25" t="s">
        <v>840</v>
      </c>
      <c r="G78" s="26" t="s">
        <v>2559</v>
      </c>
      <c r="H78" s="26" t="s">
        <v>78</v>
      </c>
      <c r="I78" s="20" t="s">
        <v>1048</v>
      </c>
      <c r="J78" s="20" t="s">
        <v>80</v>
      </c>
      <c r="K78" s="20"/>
    </row>
    <row r="79" spans="1:11" ht="79.5" customHeight="1" x14ac:dyDescent="0.15">
      <c r="A79" s="20" t="s">
        <v>1049</v>
      </c>
      <c r="B79" s="20" t="s">
        <v>1039</v>
      </c>
      <c r="C79" s="20" t="s">
        <v>1040</v>
      </c>
      <c r="D79" s="25" t="s">
        <v>1050</v>
      </c>
      <c r="E79" s="25" t="s">
        <v>16</v>
      </c>
      <c r="F79" s="25" t="s">
        <v>840</v>
      </c>
      <c r="G79" s="26" t="s">
        <v>2560</v>
      </c>
      <c r="H79" s="26" t="s">
        <v>78</v>
      </c>
      <c r="I79" s="20" t="s">
        <v>1051</v>
      </c>
      <c r="J79" s="20" t="s">
        <v>80</v>
      </c>
      <c r="K79" s="20"/>
    </row>
    <row r="80" spans="1:11" ht="75" customHeight="1" x14ac:dyDescent="0.15">
      <c r="A80" s="20" t="s">
        <v>1052</v>
      </c>
      <c r="B80" s="20" t="s">
        <v>1053</v>
      </c>
      <c r="C80" s="20" t="s">
        <v>1040</v>
      </c>
      <c r="D80" s="25" t="s">
        <v>1054</v>
      </c>
      <c r="E80" s="25" t="s">
        <v>16</v>
      </c>
      <c r="F80" s="25" t="s">
        <v>1055</v>
      </c>
      <c r="G80" s="26" t="s">
        <v>2561</v>
      </c>
      <c r="H80" s="26" t="s">
        <v>78</v>
      </c>
      <c r="I80" s="20" t="s">
        <v>1056</v>
      </c>
      <c r="J80" s="20" t="s">
        <v>80</v>
      </c>
      <c r="K80" s="20"/>
    </row>
    <row r="81" spans="1:11" ht="79.5" customHeight="1" x14ac:dyDescent="0.15">
      <c r="A81" s="27" t="s">
        <v>1057</v>
      </c>
      <c r="B81" s="28" t="s">
        <v>1053</v>
      </c>
      <c r="C81" s="28" t="s">
        <v>1040</v>
      </c>
      <c r="D81" s="29" t="s">
        <v>1058</v>
      </c>
      <c r="E81" s="28" t="s">
        <v>1059</v>
      </c>
      <c r="F81" s="29" t="s">
        <v>102</v>
      </c>
      <c r="G81" s="29" t="s">
        <v>2562</v>
      </c>
      <c r="H81" s="28" t="s">
        <v>78</v>
      </c>
      <c r="I81" s="29" t="s">
        <v>1060</v>
      </c>
      <c r="J81" s="28" t="s">
        <v>80</v>
      </c>
      <c r="K81" s="29" t="s">
        <v>2563</v>
      </c>
    </row>
    <row r="82" spans="1:11" ht="75" customHeight="1" x14ac:dyDescent="0.15">
      <c r="A82" s="20" t="s">
        <v>1061</v>
      </c>
      <c r="B82" s="20" t="s">
        <v>1053</v>
      </c>
      <c r="C82" s="20" t="s">
        <v>1040</v>
      </c>
      <c r="D82" s="25" t="s">
        <v>1062</v>
      </c>
      <c r="E82" s="25" t="s">
        <v>16</v>
      </c>
      <c r="F82" s="25" t="s">
        <v>1063</v>
      </c>
      <c r="G82" s="26" t="s">
        <v>2564</v>
      </c>
      <c r="H82" s="26" t="s">
        <v>78</v>
      </c>
      <c r="I82" s="20" t="s">
        <v>1064</v>
      </c>
      <c r="J82" s="20" t="s">
        <v>80</v>
      </c>
      <c r="K82" s="20"/>
    </row>
    <row r="83" spans="1:11" ht="79.5" customHeight="1" x14ac:dyDescent="0.15">
      <c r="A83" s="20" t="s">
        <v>1065</v>
      </c>
      <c r="B83" s="20" t="s">
        <v>1053</v>
      </c>
      <c r="C83" s="20" t="s">
        <v>1040</v>
      </c>
      <c r="D83" s="25" t="s">
        <v>1066</v>
      </c>
      <c r="E83" s="25" t="s">
        <v>16</v>
      </c>
      <c r="F83" s="25" t="s">
        <v>1067</v>
      </c>
      <c r="G83" s="26" t="s">
        <v>2565</v>
      </c>
      <c r="H83" s="26" t="s">
        <v>78</v>
      </c>
      <c r="I83" s="20" t="s">
        <v>1068</v>
      </c>
      <c r="J83" s="20" t="s">
        <v>80</v>
      </c>
      <c r="K83" s="20"/>
    </row>
    <row r="84" spans="1:11" ht="79.5" customHeight="1" x14ac:dyDescent="0.15">
      <c r="A84" s="20" t="s">
        <v>1069</v>
      </c>
      <c r="B84" s="20" t="s">
        <v>1053</v>
      </c>
      <c r="C84" s="20" t="s">
        <v>1040</v>
      </c>
      <c r="D84" s="25" t="s">
        <v>1070</v>
      </c>
      <c r="E84" s="25" t="s">
        <v>16</v>
      </c>
      <c r="F84" s="25" t="s">
        <v>1063</v>
      </c>
      <c r="G84" s="26" t="s">
        <v>2566</v>
      </c>
      <c r="H84" s="26" t="s">
        <v>78</v>
      </c>
      <c r="I84" s="20" t="s">
        <v>1071</v>
      </c>
      <c r="J84" s="20" t="s">
        <v>80</v>
      </c>
      <c r="K84" s="20"/>
    </row>
    <row r="85" spans="1:11" ht="79.5" customHeight="1" x14ac:dyDescent="0.15">
      <c r="A85" s="20" t="s">
        <v>1072</v>
      </c>
      <c r="B85" s="20" t="s">
        <v>1073</v>
      </c>
      <c r="C85" s="20" t="s">
        <v>1040</v>
      </c>
      <c r="D85" s="25" t="s">
        <v>1074</v>
      </c>
      <c r="E85" s="25" t="s">
        <v>16</v>
      </c>
      <c r="F85" s="25" t="s">
        <v>1063</v>
      </c>
      <c r="G85" s="26" t="s">
        <v>2567</v>
      </c>
      <c r="H85" s="26" t="s">
        <v>78</v>
      </c>
      <c r="I85" s="20" t="s">
        <v>1075</v>
      </c>
      <c r="J85" s="20" t="s">
        <v>80</v>
      </c>
      <c r="K85" s="20"/>
    </row>
    <row r="86" spans="1:11" ht="79.5" customHeight="1" x14ac:dyDescent="0.15">
      <c r="A86" s="20" t="s">
        <v>1076</v>
      </c>
      <c r="B86" s="20" t="s">
        <v>1073</v>
      </c>
      <c r="C86" s="20" t="s">
        <v>1040</v>
      </c>
      <c r="D86" s="25" t="s">
        <v>1077</v>
      </c>
      <c r="E86" s="25" t="s">
        <v>16</v>
      </c>
      <c r="F86" s="25" t="s">
        <v>1078</v>
      </c>
      <c r="G86" s="26" t="s">
        <v>2568</v>
      </c>
      <c r="H86" s="26" t="s">
        <v>78</v>
      </c>
      <c r="I86" s="20" t="s">
        <v>1079</v>
      </c>
      <c r="J86" s="20" t="s">
        <v>80</v>
      </c>
      <c r="K86" s="20"/>
    </row>
    <row r="87" spans="1:11" ht="79.5" customHeight="1" x14ac:dyDescent="0.15">
      <c r="A87" s="20" t="s">
        <v>1080</v>
      </c>
      <c r="B87" s="20" t="s">
        <v>1073</v>
      </c>
      <c r="C87" s="20" t="s">
        <v>1040</v>
      </c>
      <c r="D87" s="25" t="s">
        <v>1081</v>
      </c>
      <c r="E87" s="25" t="s">
        <v>16</v>
      </c>
      <c r="F87" s="25" t="s">
        <v>1078</v>
      </c>
      <c r="G87" s="26" t="s">
        <v>2569</v>
      </c>
      <c r="H87" s="26" t="s">
        <v>78</v>
      </c>
      <c r="I87" s="20" t="s">
        <v>1082</v>
      </c>
      <c r="J87" s="20" t="s">
        <v>80</v>
      </c>
      <c r="K87" s="20"/>
    </row>
    <row r="88" spans="1:11" ht="79.5" customHeight="1" x14ac:dyDescent="0.15">
      <c r="A88" s="20" t="s">
        <v>1083</v>
      </c>
      <c r="B88" s="20" t="s">
        <v>1073</v>
      </c>
      <c r="C88" s="20" t="s">
        <v>1040</v>
      </c>
      <c r="D88" s="25" t="s">
        <v>1084</v>
      </c>
      <c r="E88" s="25" t="s">
        <v>16</v>
      </c>
      <c r="F88" s="25" t="s">
        <v>824</v>
      </c>
      <c r="G88" s="26" t="s">
        <v>2570</v>
      </c>
      <c r="H88" s="26" t="s">
        <v>78</v>
      </c>
      <c r="I88" s="20" t="s">
        <v>1085</v>
      </c>
      <c r="J88" s="20" t="s">
        <v>80</v>
      </c>
      <c r="K88" s="20"/>
    </row>
    <row r="89" spans="1:11" ht="79.5" customHeight="1" x14ac:dyDescent="0.15">
      <c r="A89" s="20" t="s">
        <v>1086</v>
      </c>
      <c r="B89" s="20" t="s">
        <v>1087</v>
      </c>
      <c r="C89" s="20" t="s">
        <v>1040</v>
      </c>
      <c r="D89" s="25" t="s">
        <v>1088</v>
      </c>
      <c r="E89" s="25" t="s">
        <v>16</v>
      </c>
      <c r="F89" s="25" t="s">
        <v>1089</v>
      </c>
      <c r="G89" s="26" t="s">
        <v>2571</v>
      </c>
      <c r="H89" s="26" t="s">
        <v>78</v>
      </c>
      <c r="I89" s="20" t="s">
        <v>1090</v>
      </c>
      <c r="J89" s="20" t="s">
        <v>80</v>
      </c>
      <c r="K89" s="20"/>
    </row>
    <row r="90" spans="1:11" ht="79.5" customHeight="1" x14ac:dyDescent="0.15">
      <c r="A90" s="27" t="s">
        <v>1091</v>
      </c>
      <c r="B90" s="28" t="s">
        <v>1087</v>
      </c>
      <c r="C90" s="28" t="s">
        <v>1040</v>
      </c>
      <c r="D90" s="29" t="s">
        <v>1092</v>
      </c>
      <c r="E90" s="28" t="s">
        <v>815</v>
      </c>
      <c r="F90" s="29" t="s">
        <v>815</v>
      </c>
      <c r="G90" s="29" t="s">
        <v>2572</v>
      </c>
      <c r="H90" s="28" t="s">
        <v>815</v>
      </c>
      <c r="I90" s="29" t="s">
        <v>1093</v>
      </c>
      <c r="J90" s="28" t="s">
        <v>80</v>
      </c>
      <c r="K90" s="29" t="s">
        <v>2508</v>
      </c>
    </row>
    <row r="91" spans="1:11" ht="79.5" customHeight="1" x14ac:dyDescent="0.15">
      <c r="A91" s="20" t="s">
        <v>1094</v>
      </c>
      <c r="B91" s="20" t="s">
        <v>1087</v>
      </c>
      <c r="C91" s="20" t="s">
        <v>1040</v>
      </c>
      <c r="D91" s="25" t="s">
        <v>1095</v>
      </c>
      <c r="E91" s="25" t="s">
        <v>16</v>
      </c>
      <c r="F91" s="25" t="s">
        <v>1063</v>
      </c>
      <c r="G91" s="26" t="s">
        <v>2573</v>
      </c>
      <c r="H91" s="26" t="s">
        <v>78</v>
      </c>
      <c r="I91" s="20" t="s">
        <v>1096</v>
      </c>
      <c r="J91" s="20" t="s">
        <v>80</v>
      </c>
      <c r="K91" s="20"/>
    </row>
    <row r="92" spans="1:11" ht="75" customHeight="1" x14ac:dyDescent="0.15">
      <c r="A92" s="20" t="s">
        <v>1097</v>
      </c>
      <c r="B92" s="20" t="s">
        <v>1087</v>
      </c>
      <c r="C92" s="20" t="s">
        <v>1040</v>
      </c>
      <c r="D92" s="25" t="s">
        <v>1098</v>
      </c>
      <c r="E92" s="25" t="s">
        <v>16</v>
      </c>
      <c r="F92" s="25" t="s">
        <v>1078</v>
      </c>
      <c r="G92" s="26" t="s">
        <v>2574</v>
      </c>
      <c r="H92" s="26" t="s">
        <v>78</v>
      </c>
      <c r="I92" s="20" t="s">
        <v>1099</v>
      </c>
      <c r="J92" s="20" t="s">
        <v>80</v>
      </c>
      <c r="K92" s="20"/>
    </row>
    <row r="93" spans="1:11" ht="79.5" customHeight="1" x14ac:dyDescent="0.15">
      <c r="A93" s="27" t="s">
        <v>1100</v>
      </c>
      <c r="B93" s="28" t="s">
        <v>1087</v>
      </c>
      <c r="C93" s="28" t="s">
        <v>1040</v>
      </c>
      <c r="D93" s="29" t="s">
        <v>857</v>
      </c>
      <c r="E93" s="28" t="s">
        <v>814</v>
      </c>
      <c r="F93" s="29" t="s">
        <v>815</v>
      </c>
      <c r="G93" s="29" t="s">
        <v>2575</v>
      </c>
      <c r="H93" s="28" t="s">
        <v>816</v>
      </c>
      <c r="I93" s="29" t="s">
        <v>1101</v>
      </c>
      <c r="J93" s="28" t="s">
        <v>80</v>
      </c>
      <c r="K93" s="29" t="s">
        <v>2514</v>
      </c>
    </row>
    <row r="94" spans="1:11" ht="79.5" customHeight="1" x14ac:dyDescent="0.15">
      <c r="A94" s="20" t="s">
        <v>1102</v>
      </c>
      <c r="B94" s="20" t="s">
        <v>1087</v>
      </c>
      <c r="C94" s="20" t="s">
        <v>1040</v>
      </c>
      <c r="D94" s="25" t="s">
        <v>1103</v>
      </c>
      <c r="E94" s="25" t="s">
        <v>16</v>
      </c>
      <c r="F94" s="25" t="s">
        <v>157</v>
      </c>
      <c r="G94" s="26" t="s">
        <v>2576</v>
      </c>
      <c r="H94" s="26" t="s">
        <v>78</v>
      </c>
      <c r="I94" s="20" t="s">
        <v>1104</v>
      </c>
      <c r="J94" s="20" t="s">
        <v>80</v>
      </c>
      <c r="K94" s="20"/>
    </row>
    <row r="95" spans="1:11" ht="219.75" customHeight="1" x14ac:dyDescent="0.15">
      <c r="A95" s="20" t="s">
        <v>1105</v>
      </c>
      <c r="B95" s="20" t="s">
        <v>1106</v>
      </c>
      <c r="C95" s="20" t="s">
        <v>1040</v>
      </c>
      <c r="D95" s="25" t="s">
        <v>1107</v>
      </c>
      <c r="E95" s="25" t="s">
        <v>16</v>
      </c>
      <c r="F95" s="25" t="s">
        <v>157</v>
      </c>
      <c r="G95" s="26" t="s">
        <v>2577</v>
      </c>
      <c r="H95" s="26" t="s">
        <v>78</v>
      </c>
      <c r="I95" s="20" t="s">
        <v>1108</v>
      </c>
      <c r="J95" s="20" t="s">
        <v>80</v>
      </c>
      <c r="K95" s="20"/>
    </row>
    <row r="96" spans="1:11" ht="79.5" customHeight="1" x14ac:dyDescent="0.15">
      <c r="A96" s="20" t="s">
        <v>1109</v>
      </c>
      <c r="B96" s="20" t="s">
        <v>1106</v>
      </c>
      <c r="C96" s="20" t="s">
        <v>1040</v>
      </c>
      <c r="D96" s="25" t="s">
        <v>1110</v>
      </c>
      <c r="E96" s="25" t="s">
        <v>16</v>
      </c>
      <c r="F96" s="25" t="s">
        <v>198</v>
      </c>
      <c r="G96" s="26" t="s">
        <v>2578</v>
      </c>
      <c r="H96" s="26" t="s">
        <v>78</v>
      </c>
      <c r="I96" s="20" t="s">
        <v>1111</v>
      </c>
      <c r="J96" s="20" t="s">
        <v>80</v>
      </c>
      <c r="K96" s="20"/>
    </row>
    <row r="97" spans="1:11" ht="79.5" customHeight="1" x14ac:dyDescent="0.15">
      <c r="A97" s="20" t="s">
        <v>1112</v>
      </c>
      <c r="B97" s="20" t="s">
        <v>1106</v>
      </c>
      <c r="C97" s="20" t="s">
        <v>1040</v>
      </c>
      <c r="D97" s="25" t="s">
        <v>1113</v>
      </c>
      <c r="E97" s="25" t="s">
        <v>16</v>
      </c>
      <c r="F97" s="25" t="s">
        <v>198</v>
      </c>
      <c r="G97" s="26" t="s">
        <v>2579</v>
      </c>
      <c r="H97" s="26" t="s">
        <v>78</v>
      </c>
      <c r="I97" s="20" t="s">
        <v>1114</v>
      </c>
      <c r="J97" s="20" t="s">
        <v>80</v>
      </c>
      <c r="K97" s="20"/>
    </row>
    <row r="98" spans="1:11" ht="79.5" customHeight="1" x14ac:dyDescent="0.15">
      <c r="A98" s="20" t="s">
        <v>1115</v>
      </c>
      <c r="B98" s="20" t="s">
        <v>1106</v>
      </c>
      <c r="C98" s="20" t="s">
        <v>1040</v>
      </c>
      <c r="D98" s="25" t="s">
        <v>1116</v>
      </c>
      <c r="E98" s="25" t="s">
        <v>16</v>
      </c>
      <c r="F98" s="25" t="s">
        <v>1078</v>
      </c>
      <c r="G98" s="26" t="s">
        <v>2580</v>
      </c>
      <c r="H98" s="26" t="s">
        <v>78</v>
      </c>
      <c r="I98" s="20" t="s">
        <v>1117</v>
      </c>
      <c r="J98" s="20" t="s">
        <v>80</v>
      </c>
      <c r="K98" s="20"/>
    </row>
    <row r="99" spans="1:11" ht="79.5" customHeight="1" x14ac:dyDescent="0.15">
      <c r="A99" s="20" t="s">
        <v>1118</v>
      </c>
      <c r="B99" s="20" t="s">
        <v>1119</v>
      </c>
      <c r="C99" s="20" t="s">
        <v>1040</v>
      </c>
      <c r="D99" s="25" t="s">
        <v>1120</v>
      </c>
      <c r="E99" s="25" t="s">
        <v>16</v>
      </c>
      <c r="F99" s="25" t="s">
        <v>1078</v>
      </c>
      <c r="G99" s="26" t="s">
        <v>2581</v>
      </c>
      <c r="H99" s="26" t="s">
        <v>78</v>
      </c>
      <c r="I99" s="20" t="s">
        <v>1121</v>
      </c>
      <c r="J99" s="20" t="s">
        <v>80</v>
      </c>
      <c r="K99" s="20"/>
    </row>
    <row r="100" spans="1:11" ht="79.5" customHeight="1" x14ac:dyDescent="0.15">
      <c r="A100" s="20" t="s">
        <v>1122</v>
      </c>
      <c r="B100" s="20" t="s">
        <v>1119</v>
      </c>
      <c r="C100" s="20" t="s">
        <v>1040</v>
      </c>
      <c r="D100" s="25" t="s">
        <v>1123</v>
      </c>
      <c r="E100" s="25" t="s">
        <v>16</v>
      </c>
      <c r="F100" s="25" t="s">
        <v>1124</v>
      </c>
      <c r="G100" s="26" t="s">
        <v>2582</v>
      </c>
      <c r="H100" s="26" t="s">
        <v>78</v>
      </c>
      <c r="I100" s="20" t="s">
        <v>1125</v>
      </c>
      <c r="J100" s="20" t="s">
        <v>80</v>
      </c>
      <c r="K100" s="20"/>
    </row>
    <row r="101" spans="1:11" ht="79.5" customHeight="1" x14ac:dyDescent="0.15">
      <c r="A101" s="20" t="s">
        <v>1126</v>
      </c>
      <c r="B101" s="20" t="s">
        <v>1119</v>
      </c>
      <c r="C101" s="20" t="s">
        <v>1040</v>
      </c>
      <c r="D101" s="25" t="s">
        <v>1127</v>
      </c>
      <c r="E101" s="25" t="s">
        <v>16</v>
      </c>
      <c r="F101" s="25" t="s">
        <v>1128</v>
      </c>
      <c r="G101" s="26" t="s">
        <v>2583</v>
      </c>
      <c r="H101" s="26" t="s">
        <v>78</v>
      </c>
      <c r="I101" s="20" t="s">
        <v>1129</v>
      </c>
      <c r="J101" s="20" t="s">
        <v>80</v>
      </c>
      <c r="K101" s="20"/>
    </row>
    <row r="102" spans="1:11" ht="75" customHeight="1" x14ac:dyDescent="0.15">
      <c r="A102" s="20" t="s">
        <v>1130</v>
      </c>
      <c r="B102" s="20" t="s">
        <v>1119</v>
      </c>
      <c r="C102" s="20" t="s">
        <v>1040</v>
      </c>
      <c r="D102" s="25" t="s">
        <v>1131</v>
      </c>
      <c r="E102" s="25" t="s">
        <v>16</v>
      </c>
      <c r="F102" s="25" t="s">
        <v>1078</v>
      </c>
      <c r="G102" s="26" t="s">
        <v>2584</v>
      </c>
      <c r="H102" s="26" t="s">
        <v>78</v>
      </c>
      <c r="I102" s="20" t="s">
        <v>1132</v>
      </c>
      <c r="J102" s="20" t="s">
        <v>80</v>
      </c>
      <c r="K102" s="20"/>
    </row>
    <row r="103" spans="1:11" ht="92.5" customHeight="1" x14ac:dyDescent="0.15">
      <c r="A103" s="20" t="s">
        <v>1133</v>
      </c>
      <c r="B103" s="20" t="s">
        <v>1134</v>
      </c>
      <c r="C103" s="20" t="s">
        <v>1040</v>
      </c>
      <c r="D103" s="25" t="s">
        <v>1135</v>
      </c>
      <c r="E103" s="25" t="s">
        <v>16</v>
      </c>
      <c r="F103" s="25" t="s">
        <v>198</v>
      </c>
      <c r="G103" s="26" t="s">
        <v>2585</v>
      </c>
      <c r="H103" s="26" t="s">
        <v>78</v>
      </c>
      <c r="I103" s="20" t="s">
        <v>1136</v>
      </c>
      <c r="J103" s="20" t="s">
        <v>80</v>
      </c>
      <c r="K103" s="20"/>
    </row>
    <row r="104" spans="1:11" ht="79.5" customHeight="1" x14ac:dyDescent="0.15">
      <c r="A104" s="27" t="s">
        <v>1137</v>
      </c>
      <c r="B104" s="28" t="s">
        <v>1134</v>
      </c>
      <c r="C104" s="28" t="s">
        <v>1040</v>
      </c>
      <c r="D104" s="29" t="s">
        <v>857</v>
      </c>
      <c r="E104" s="28" t="s">
        <v>814</v>
      </c>
      <c r="F104" s="29" t="s">
        <v>815</v>
      </c>
      <c r="G104" s="29" t="s">
        <v>2586</v>
      </c>
      <c r="H104" s="28" t="s">
        <v>816</v>
      </c>
      <c r="I104" s="29" t="s">
        <v>1138</v>
      </c>
      <c r="J104" s="28" t="s">
        <v>80</v>
      </c>
      <c r="K104" s="29" t="s">
        <v>2514</v>
      </c>
    </row>
    <row r="105" spans="1:11" ht="79.5" customHeight="1" x14ac:dyDescent="0.15">
      <c r="A105" s="20" t="s">
        <v>1139</v>
      </c>
      <c r="B105" s="20" t="s">
        <v>1134</v>
      </c>
      <c r="C105" s="20" t="s">
        <v>1040</v>
      </c>
      <c r="D105" s="25" t="s">
        <v>1140</v>
      </c>
      <c r="E105" s="25" t="s">
        <v>16</v>
      </c>
      <c r="F105" s="25" t="s">
        <v>198</v>
      </c>
      <c r="G105" s="26" t="s">
        <v>2587</v>
      </c>
      <c r="H105" s="26" t="s">
        <v>78</v>
      </c>
      <c r="I105" s="20" t="s">
        <v>244</v>
      </c>
      <c r="J105" s="20" t="s">
        <v>80</v>
      </c>
      <c r="K105" s="20"/>
    </row>
    <row r="106" spans="1:11" ht="75" customHeight="1" x14ac:dyDescent="0.15">
      <c r="A106" s="20" t="s">
        <v>1141</v>
      </c>
      <c r="B106" s="20" t="s">
        <v>1134</v>
      </c>
      <c r="C106" s="20" t="s">
        <v>1040</v>
      </c>
      <c r="D106" s="25" t="s">
        <v>1142</v>
      </c>
      <c r="E106" s="25" t="s">
        <v>16</v>
      </c>
      <c r="F106" s="25" t="s">
        <v>1023</v>
      </c>
      <c r="G106" s="26" t="s">
        <v>2588</v>
      </c>
      <c r="H106" s="26" t="s">
        <v>78</v>
      </c>
      <c r="I106" s="20" t="s">
        <v>1143</v>
      </c>
      <c r="J106" s="20" t="s">
        <v>80</v>
      </c>
      <c r="K106" s="20"/>
    </row>
    <row r="107" spans="1:11" ht="79.5" customHeight="1" x14ac:dyDescent="0.15">
      <c r="A107" s="20" t="s">
        <v>1144</v>
      </c>
      <c r="B107" s="20" t="s">
        <v>1134</v>
      </c>
      <c r="C107" s="20" t="s">
        <v>1040</v>
      </c>
      <c r="D107" s="25" t="s">
        <v>1145</v>
      </c>
      <c r="E107" s="25" t="s">
        <v>16</v>
      </c>
      <c r="F107" s="25" t="s">
        <v>1078</v>
      </c>
      <c r="G107" s="26" t="s">
        <v>2589</v>
      </c>
      <c r="H107" s="26" t="s">
        <v>78</v>
      </c>
      <c r="I107" s="20" t="s">
        <v>1146</v>
      </c>
      <c r="J107" s="20" t="s">
        <v>80</v>
      </c>
      <c r="K107" s="20"/>
    </row>
    <row r="108" spans="1:11" ht="79.5" customHeight="1" x14ac:dyDescent="0.15">
      <c r="A108" s="20" t="s">
        <v>1147</v>
      </c>
      <c r="B108" s="20" t="s">
        <v>1148</v>
      </c>
      <c r="C108" s="20" t="s">
        <v>1040</v>
      </c>
      <c r="D108" s="25" t="s">
        <v>1149</v>
      </c>
      <c r="E108" s="25" t="s">
        <v>16</v>
      </c>
      <c r="F108" s="25" t="s">
        <v>198</v>
      </c>
      <c r="G108" s="26" t="s">
        <v>2590</v>
      </c>
      <c r="H108" s="26" t="s">
        <v>78</v>
      </c>
      <c r="I108" s="20" t="s">
        <v>1150</v>
      </c>
      <c r="J108" s="20" t="s">
        <v>80</v>
      </c>
      <c r="K108" s="20"/>
    </row>
    <row r="109" spans="1:11" ht="79.5" customHeight="1" x14ac:dyDescent="0.15">
      <c r="A109" s="20" t="s">
        <v>1151</v>
      </c>
      <c r="B109" s="20" t="s">
        <v>1148</v>
      </c>
      <c r="C109" s="20" t="s">
        <v>1040</v>
      </c>
      <c r="D109" s="25" t="s">
        <v>1152</v>
      </c>
      <c r="E109" s="25" t="s">
        <v>16</v>
      </c>
      <c r="F109" s="25" t="s">
        <v>157</v>
      </c>
      <c r="G109" s="26" t="s">
        <v>2591</v>
      </c>
      <c r="H109" s="26" t="s">
        <v>78</v>
      </c>
      <c r="I109" s="20" t="s">
        <v>1153</v>
      </c>
      <c r="J109" s="20" t="s">
        <v>80</v>
      </c>
      <c r="K109" s="20"/>
    </row>
    <row r="110" spans="1:11" ht="79.5" customHeight="1" x14ac:dyDescent="0.15">
      <c r="A110" s="20" t="s">
        <v>1154</v>
      </c>
      <c r="B110" s="20" t="s">
        <v>1148</v>
      </c>
      <c r="C110" s="20" t="s">
        <v>1040</v>
      </c>
      <c r="D110" s="25" t="s">
        <v>1155</v>
      </c>
      <c r="E110" s="25" t="s">
        <v>16</v>
      </c>
      <c r="F110" s="25" t="s">
        <v>1078</v>
      </c>
      <c r="G110" s="26" t="s">
        <v>2592</v>
      </c>
      <c r="H110" s="26" t="s">
        <v>78</v>
      </c>
      <c r="I110" s="20" t="s">
        <v>1156</v>
      </c>
      <c r="J110" s="20" t="s">
        <v>80</v>
      </c>
      <c r="K110" s="20"/>
    </row>
    <row r="111" spans="1:11" ht="79.5" customHeight="1" x14ac:dyDescent="0.15">
      <c r="A111" s="20" t="s">
        <v>1157</v>
      </c>
      <c r="B111" s="20" t="s">
        <v>1148</v>
      </c>
      <c r="C111" s="20" t="s">
        <v>1040</v>
      </c>
      <c r="D111" s="25" t="s">
        <v>1158</v>
      </c>
      <c r="E111" s="25" t="s">
        <v>16</v>
      </c>
      <c r="F111" s="25" t="s">
        <v>964</v>
      </c>
      <c r="G111" s="26" t="s">
        <v>2593</v>
      </c>
      <c r="H111" s="26" t="s">
        <v>78</v>
      </c>
      <c r="I111" s="20" t="s">
        <v>1159</v>
      </c>
      <c r="J111" s="20" t="s">
        <v>80</v>
      </c>
      <c r="K111" s="20"/>
    </row>
    <row r="112" spans="1:11" ht="75" customHeight="1" x14ac:dyDescent="0.15">
      <c r="A112" s="20" t="s">
        <v>1160</v>
      </c>
      <c r="B112" s="20" t="s">
        <v>1161</v>
      </c>
      <c r="C112" s="20" t="s">
        <v>1040</v>
      </c>
      <c r="D112" s="25" t="s">
        <v>1162</v>
      </c>
      <c r="E112" s="25" t="s">
        <v>16</v>
      </c>
      <c r="F112" s="25" t="s">
        <v>1078</v>
      </c>
      <c r="G112" s="26" t="s">
        <v>2594</v>
      </c>
      <c r="H112" s="26" t="s">
        <v>78</v>
      </c>
      <c r="I112" s="20" t="s">
        <v>1163</v>
      </c>
      <c r="J112" s="20" t="s">
        <v>80</v>
      </c>
      <c r="K112" s="20"/>
    </row>
    <row r="113" spans="1:11" ht="79.5" customHeight="1" x14ac:dyDescent="0.15">
      <c r="A113" s="20" t="s">
        <v>1164</v>
      </c>
      <c r="B113" s="20" t="s">
        <v>1161</v>
      </c>
      <c r="C113" s="20" t="s">
        <v>1040</v>
      </c>
      <c r="D113" s="25" t="s">
        <v>1165</v>
      </c>
      <c r="E113" s="25" t="s">
        <v>16</v>
      </c>
      <c r="F113" s="25" t="s">
        <v>815</v>
      </c>
      <c r="G113" s="26" t="s">
        <v>2595</v>
      </c>
      <c r="H113" s="26" t="s">
        <v>78</v>
      </c>
      <c r="I113" s="20" t="s">
        <v>1166</v>
      </c>
      <c r="J113" s="20" t="s">
        <v>80</v>
      </c>
      <c r="K113" s="20"/>
    </row>
    <row r="114" spans="1:11" ht="79.5" customHeight="1" x14ac:dyDescent="0.15">
      <c r="A114" s="20" t="s">
        <v>1167</v>
      </c>
      <c r="B114" s="20" t="s">
        <v>1161</v>
      </c>
      <c r="C114" s="20" t="s">
        <v>1040</v>
      </c>
      <c r="D114" s="25" t="s">
        <v>1168</v>
      </c>
      <c r="E114" s="25" t="s">
        <v>16</v>
      </c>
      <c r="F114" s="25" t="s">
        <v>815</v>
      </c>
      <c r="G114" s="26" t="s">
        <v>2596</v>
      </c>
      <c r="H114" s="26" t="s">
        <v>78</v>
      </c>
      <c r="I114" s="20" t="s">
        <v>1169</v>
      </c>
      <c r="J114" s="20" t="s">
        <v>80</v>
      </c>
      <c r="K114" s="20"/>
    </row>
    <row r="115" spans="1:11" ht="79.5" customHeight="1" x14ac:dyDescent="0.15">
      <c r="A115" s="27" t="s">
        <v>1170</v>
      </c>
      <c r="B115" s="28" t="s">
        <v>1161</v>
      </c>
      <c r="C115" s="28" t="s">
        <v>1040</v>
      </c>
      <c r="D115" s="29" t="s">
        <v>1171</v>
      </c>
      <c r="E115" s="28" t="s">
        <v>814</v>
      </c>
      <c r="F115" s="29" t="s">
        <v>815</v>
      </c>
      <c r="G115" s="29" t="s">
        <v>2597</v>
      </c>
      <c r="H115" s="28" t="s">
        <v>816</v>
      </c>
      <c r="I115" s="29" t="s">
        <v>1172</v>
      </c>
      <c r="J115" s="28" t="s">
        <v>80</v>
      </c>
      <c r="K115" s="29" t="s">
        <v>2598</v>
      </c>
    </row>
    <row r="116" spans="1:11" ht="79.5" customHeight="1" x14ac:dyDescent="0.15">
      <c r="A116" s="20" t="s">
        <v>1173</v>
      </c>
      <c r="B116" s="20" t="s">
        <v>1161</v>
      </c>
      <c r="C116" s="20" t="s">
        <v>1040</v>
      </c>
      <c r="D116" s="25" t="s">
        <v>1174</v>
      </c>
      <c r="E116" s="25" t="s">
        <v>16</v>
      </c>
      <c r="F116" s="25" t="s">
        <v>1078</v>
      </c>
      <c r="G116" s="26" t="s">
        <v>2599</v>
      </c>
      <c r="H116" s="26" t="s">
        <v>78</v>
      </c>
      <c r="I116" s="20" t="s">
        <v>1175</v>
      </c>
      <c r="J116" s="20" t="s">
        <v>80</v>
      </c>
      <c r="K116" s="20"/>
    </row>
    <row r="117" spans="1:11" ht="79.5" customHeight="1" x14ac:dyDescent="0.15">
      <c r="A117" s="20" t="s">
        <v>1176</v>
      </c>
      <c r="B117" s="20" t="s">
        <v>1177</v>
      </c>
      <c r="C117" s="20" t="s">
        <v>1040</v>
      </c>
      <c r="D117" s="25" t="s">
        <v>1178</v>
      </c>
      <c r="E117" s="25" t="s">
        <v>16</v>
      </c>
      <c r="F117" s="25" t="s">
        <v>1078</v>
      </c>
      <c r="G117" s="26" t="s">
        <v>2600</v>
      </c>
      <c r="H117" s="26" t="s">
        <v>78</v>
      </c>
      <c r="I117" s="20" t="s">
        <v>1179</v>
      </c>
      <c r="J117" s="20" t="s">
        <v>80</v>
      </c>
      <c r="K117" s="20"/>
    </row>
    <row r="118" spans="1:11" ht="79.5" customHeight="1" x14ac:dyDescent="0.15">
      <c r="A118" s="20" t="s">
        <v>1180</v>
      </c>
      <c r="B118" s="20" t="s">
        <v>1177</v>
      </c>
      <c r="C118" s="20" t="s">
        <v>1040</v>
      </c>
      <c r="D118" s="25" t="s">
        <v>1181</v>
      </c>
      <c r="E118" s="25" t="s">
        <v>16</v>
      </c>
      <c r="F118" s="25" t="s">
        <v>1078</v>
      </c>
      <c r="G118" s="26" t="s">
        <v>2601</v>
      </c>
      <c r="H118" s="26" t="s">
        <v>78</v>
      </c>
      <c r="I118" s="20" t="s">
        <v>1182</v>
      </c>
      <c r="J118" s="20" t="s">
        <v>80</v>
      </c>
      <c r="K118" s="20"/>
    </row>
    <row r="119" spans="1:11" ht="79.5" customHeight="1" x14ac:dyDescent="0.15">
      <c r="A119" s="20" t="s">
        <v>1183</v>
      </c>
      <c r="B119" s="20" t="s">
        <v>1177</v>
      </c>
      <c r="C119" s="20" t="s">
        <v>1040</v>
      </c>
      <c r="D119" s="25" t="s">
        <v>1184</v>
      </c>
      <c r="E119" s="25" t="s">
        <v>16</v>
      </c>
      <c r="F119" s="25" t="s">
        <v>1089</v>
      </c>
      <c r="G119" s="26" t="s">
        <v>2602</v>
      </c>
      <c r="H119" s="26" t="s">
        <v>78</v>
      </c>
      <c r="I119" s="20" t="s">
        <v>1185</v>
      </c>
      <c r="J119" s="20" t="s">
        <v>80</v>
      </c>
      <c r="K119" s="20"/>
    </row>
    <row r="120" spans="1:11" ht="79.5" customHeight="1" x14ac:dyDescent="0.15">
      <c r="A120" s="27" t="s">
        <v>1186</v>
      </c>
      <c r="B120" s="28" t="s">
        <v>1177</v>
      </c>
      <c r="C120" s="28" t="s">
        <v>1040</v>
      </c>
      <c r="D120" s="29" t="s">
        <v>1187</v>
      </c>
      <c r="E120" s="28" t="s">
        <v>815</v>
      </c>
      <c r="F120" s="29" t="s">
        <v>815</v>
      </c>
      <c r="G120" s="29" t="s">
        <v>2603</v>
      </c>
      <c r="H120" s="28" t="s">
        <v>815</v>
      </c>
      <c r="I120" s="29" t="s">
        <v>1188</v>
      </c>
      <c r="J120" s="28" t="s">
        <v>80</v>
      </c>
      <c r="K120" s="29" t="s">
        <v>2604</v>
      </c>
    </row>
    <row r="121" spans="1:11" ht="79.5" customHeight="1" x14ac:dyDescent="0.15">
      <c r="A121" s="20" t="s">
        <v>1189</v>
      </c>
      <c r="B121" s="20" t="s">
        <v>1177</v>
      </c>
      <c r="C121" s="20" t="s">
        <v>1040</v>
      </c>
      <c r="D121" s="25" t="s">
        <v>1190</v>
      </c>
      <c r="E121" s="25" t="s">
        <v>16</v>
      </c>
      <c r="F121" s="25" t="s">
        <v>1078</v>
      </c>
      <c r="G121" s="26" t="s">
        <v>2605</v>
      </c>
      <c r="H121" s="26" t="s">
        <v>78</v>
      </c>
      <c r="I121" s="20" t="s">
        <v>1191</v>
      </c>
      <c r="J121" s="20" t="s">
        <v>80</v>
      </c>
      <c r="K121" s="20"/>
    </row>
    <row r="122" spans="1:11" ht="79.5" customHeight="1" x14ac:dyDescent="0.15">
      <c r="A122" s="20" t="s">
        <v>1192</v>
      </c>
      <c r="B122" s="20" t="s">
        <v>1177</v>
      </c>
      <c r="C122" s="20" t="s">
        <v>1040</v>
      </c>
      <c r="D122" s="25" t="s">
        <v>1193</v>
      </c>
      <c r="E122" s="25" t="s">
        <v>16</v>
      </c>
      <c r="F122" s="25" t="s">
        <v>1078</v>
      </c>
      <c r="G122" s="26" t="s">
        <v>2606</v>
      </c>
      <c r="H122" s="26" t="s">
        <v>78</v>
      </c>
      <c r="I122" s="20" t="s">
        <v>1194</v>
      </c>
      <c r="J122" s="20" t="s">
        <v>80</v>
      </c>
      <c r="K122" s="20"/>
    </row>
    <row r="123" spans="1:11" ht="211.25" customHeight="1" x14ac:dyDescent="0.15">
      <c r="A123" s="20" t="s">
        <v>1195</v>
      </c>
      <c r="B123" s="20" t="s">
        <v>1196</v>
      </c>
      <c r="C123" s="20" t="s">
        <v>1040</v>
      </c>
      <c r="D123" s="25" t="s">
        <v>1197</v>
      </c>
      <c r="E123" s="25" t="s">
        <v>16</v>
      </c>
      <c r="F123" s="25" t="s">
        <v>1078</v>
      </c>
      <c r="G123" s="26" t="s">
        <v>2607</v>
      </c>
      <c r="H123" s="26" t="s">
        <v>78</v>
      </c>
      <c r="I123" s="20" t="s">
        <v>1198</v>
      </c>
      <c r="J123" s="20" t="s">
        <v>80</v>
      </c>
      <c r="K123" s="20"/>
    </row>
    <row r="124" spans="1:11" ht="75" customHeight="1" x14ac:dyDescent="0.15">
      <c r="A124" s="20" t="s">
        <v>1199</v>
      </c>
      <c r="B124" s="20" t="s">
        <v>1196</v>
      </c>
      <c r="C124" s="20" t="s">
        <v>1040</v>
      </c>
      <c r="D124" s="25" t="s">
        <v>1200</v>
      </c>
      <c r="E124" s="25" t="s">
        <v>16</v>
      </c>
      <c r="F124" s="25" t="s">
        <v>1078</v>
      </c>
      <c r="G124" s="26" t="s">
        <v>2608</v>
      </c>
      <c r="H124" s="26" t="s">
        <v>78</v>
      </c>
      <c r="I124" s="20" t="s">
        <v>1201</v>
      </c>
      <c r="J124" s="20" t="s">
        <v>80</v>
      </c>
      <c r="K124" s="20"/>
    </row>
    <row r="125" spans="1:11" ht="48" x14ac:dyDescent="0.15">
      <c r="A125" s="20" t="s">
        <v>1202</v>
      </c>
      <c r="B125" s="20" t="s">
        <v>1196</v>
      </c>
      <c r="C125" s="20" t="s">
        <v>1040</v>
      </c>
      <c r="D125" s="25" t="s">
        <v>1203</v>
      </c>
      <c r="E125" s="25" t="s">
        <v>16</v>
      </c>
      <c r="F125" s="25" t="s">
        <v>1078</v>
      </c>
      <c r="G125" s="26" t="s">
        <v>2609</v>
      </c>
      <c r="H125" s="26" t="s">
        <v>78</v>
      </c>
      <c r="I125" s="20" t="s">
        <v>1204</v>
      </c>
      <c r="J125" s="20" t="s">
        <v>80</v>
      </c>
      <c r="K125" s="20"/>
    </row>
    <row r="126" spans="1:11" ht="48" x14ac:dyDescent="0.15">
      <c r="A126" s="20" t="s">
        <v>1205</v>
      </c>
      <c r="B126" s="20" t="s">
        <v>1196</v>
      </c>
      <c r="C126" s="20" t="s">
        <v>1040</v>
      </c>
      <c r="D126" s="25" t="s">
        <v>1206</v>
      </c>
      <c r="E126" s="25" t="s">
        <v>16</v>
      </c>
      <c r="F126" s="25" t="s">
        <v>1207</v>
      </c>
      <c r="G126" s="26" t="s">
        <v>2610</v>
      </c>
      <c r="H126" s="26" t="s">
        <v>78</v>
      </c>
      <c r="I126" s="20" t="s">
        <v>1208</v>
      </c>
      <c r="J126" s="20" t="s">
        <v>80</v>
      </c>
      <c r="K126" s="20"/>
    </row>
    <row r="127" spans="1:11" ht="64" x14ac:dyDescent="0.15">
      <c r="A127" s="27" t="s">
        <v>1209</v>
      </c>
      <c r="B127" s="28" t="s">
        <v>1196</v>
      </c>
      <c r="C127" s="28" t="s">
        <v>1040</v>
      </c>
      <c r="D127" s="29" t="s">
        <v>857</v>
      </c>
      <c r="E127" s="28" t="s">
        <v>814</v>
      </c>
      <c r="F127" s="29" t="s">
        <v>815</v>
      </c>
      <c r="G127" s="29" t="s">
        <v>2611</v>
      </c>
      <c r="H127" s="28" t="s">
        <v>816</v>
      </c>
      <c r="I127" s="29" t="s">
        <v>1210</v>
      </c>
      <c r="J127" s="28" t="s">
        <v>80</v>
      </c>
      <c r="K127" s="29" t="s">
        <v>2514</v>
      </c>
    </row>
    <row r="128" spans="1:11" ht="48" x14ac:dyDescent="0.15">
      <c r="A128" s="20" t="s">
        <v>1211</v>
      </c>
      <c r="B128" s="20" t="s">
        <v>1196</v>
      </c>
      <c r="C128" s="20" t="s">
        <v>1040</v>
      </c>
      <c r="D128" s="25" t="s">
        <v>1212</v>
      </c>
      <c r="E128" s="25" t="s">
        <v>16</v>
      </c>
      <c r="F128" s="25" t="s">
        <v>1078</v>
      </c>
      <c r="G128" s="26" t="s">
        <v>2612</v>
      </c>
      <c r="H128" s="26" t="s">
        <v>78</v>
      </c>
      <c r="I128" s="20" t="s">
        <v>1213</v>
      </c>
      <c r="J128" s="20" t="s">
        <v>80</v>
      </c>
      <c r="K128" s="20"/>
    </row>
    <row r="129" spans="1:11" ht="48" x14ac:dyDescent="0.15">
      <c r="A129" s="20" t="s">
        <v>1214</v>
      </c>
      <c r="B129" s="20" t="s">
        <v>1215</v>
      </c>
      <c r="C129" s="20" t="s">
        <v>1040</v>
      </c>
      <c r="D129" s="25" t="s">
        <v>1216</v>
      </c>
      <c r="E129" s="25" t="s">
        <v>16</v>
      </c>
      <c r="F129" s="25" t="s">
        <v>1078</v>
      </c>
      <c r="G129" s="26" t="s">
        <v>2613</v>
      </c>
      <c r="H129" s="26" t="s">
        <v>78</v>
      </c>
      <c r="I129" s="20" t="s">
        <v>1217</v>
      </c>
      <c r="J129" s="20" t="s">
        <v>80</v>
      </c>
      <c r="K129" s="20"/>
    </row>
    <row r="130" spans="1:11" ht="48" x14ac:dyDescent="0.15">
      <c r="A130" s="20" t="s">
        <v>1218</v>
      </c>
      <c r="B130" s="20" t="s">
        <v>1215</v>
      </c>
      <c r="C130" s="20" t="s">
        <v>1040</v>
      </c>
      <c r="D130" s="25" t="s">
        <v>1219</v>
      </c>
      <c r="E130" s="25" t="s">
        <v>16</v>
      </c>
      <c r="F130" s="25" t="s">
        <v>1078</v>
      </c>
      <c r="G130" s="26" t="s">
        <v>2614</v>
      </c>
      <c r="H130" s="26" t="s">
        <v>78</v>
      </c>
      <c r="I130" s="20" t="s">
        <v>1220</v>
      </c>
      <c r="J130" s="20" t="s">
        <v>80</v>
      </c>
      <c r="K130" s="20"/>
    </row>
    <row r="131" spans="1:11" ht="48" x14ac:dyDescent="0.15">
      <c r="A131" s="20" t="s">
        <v>1221</v>
      </c>
      <c r="B131" s="20" t="s">
        <v>1215</v>
      </c>
      <c r="C131" s="20" t="s">
        <v>1040</v>
      </c>
      <c r="D131" s="25" t="s">
        <v>1222</v>
      </c>
      <c r="E131" s="25" t="s">
        <v>16</v>
      </c>
      <c r="F131" s="25" t="s">
        <v>1078</v>
      </c>
      <c r="G131" s="26" t="s">
        <v>2615</v>
      </c>
      <c r="H131" s="26" t="s">
        <v>78</v>
      </c>
      <c r="I131" s="20" t="s">
        <v>1223</v>
      </c>
      <c r="J131" s="20" t="s">
        <v>80</v>
      </c>
      <c r="K131" s="20"/>
    </row>
    <row r="132" spans="1:11" ht="48" x14ac:dyDescent="0.15">
      <c r="A132" s="20" t="s">
        <v>1224</v>
      </c>
      <c r="B132" s="20" t="s">
        <v>1215</v>
      </c>
      <c r="C132" s="20" t="s">
        <v>1040</v>
      </c>
      <c r="D132" s="25" t="s">
        <v>1225</v>
      </c>
      <c r="E132" s="25" t="s">
        <v>16</v>
      </c>
      <c r="F132" s="25" t="s">
        <v>1078</v>
      </c>
      <c r="G132" s="26" t="s">
        <v>2616</v>
      </c>
      <c r="H132" s="26" t="s">
        <v>78</v>
      </c>
      <c r="I132" s="20" t="s">
        <v>1226</v>
      </c>
      <c r="J132" s="20" t="s">
        <v>80</v>
      </c>
      <c r="K132" s="20"/>
    </row>
    <row r="133" spans="1:11" ht="48" x14ac:dyDescent="0.15">
      <c r="A133" s="20" t="s">
        <v>1227</v>
      </c>
      <c r="B133" s="20" t="s">
        <v>1215</v>
      </c>
      <c r="C133" s="20" t="s">
        <v>1040</v>
      </c>
      <c r="D133" s="25" t="s">
        <v>1228</v>
      </c>
      <c r="E133" s="25" t="s">
        <v>16</v>
      </c>
      <c r="F133" s="25" t="s">
        <v>1078</v>
      </c>
      <c r="G133" s="26" t="s">
        <v>2617</v>
      </c>
      <c r="H133" s="26" t="s">
        <v>78</v>
      </c>
      <c r="I133" s="20" t="s">
        <v>1229</v>
      </c>
      <c r="J133" s="20" t="s">
        <v>80</v>
      </c>
      <c r="K133" s="20"/>
    </row>
    <row r="134" spans="1:11" ht="48" x14ac:dyDescent="0.15">
      <c r="A134" s="20" t="s">
        <v>1230</v>
      </c>
      <c r="B134" s="20" t="s">
        <v>1231</v>
      </c>
      <c r="C134" s="20" t="s">
        <v>1040</v>
      </c>
      <c r="D134" s="25" t="s">
        <v>1232</v>
      </c>
      <c r="E134" s="25" t="s">
        <v>16</v>
      </c>
      <c r="F134" s="25" t="s">
        <v>1078</v>
      </c>
      <c r="G134" s="26" t="s">
        <v>2618</v>
      </c>
      <c r="H134" s="26" t="s">
        <v>78</v>
      </c>
      <c r="I134" s="20" t="s">
        <v>1233</v>
      </c>
      <c r="J134" s="20" t="s">
        <v>80</v>
      </c>
      <c r="K134" s="20"/>
    </row>
    <row r="135" spans="1:11" ht="48" x14ac:dyDescent="0.15">
      <c r="A135" s="20" t="s">
        <v>1234</v>
      </c>
      <c r="B135" s="20" t="s">
        <v>1231</v>
      </c>
      <c r="C135" s="20" t="s">
        <v>1040</v>
      </c>
      <c r="D135" s="25" t="s">
        <v>1235</v>
      </c>
      <c r="E135" s="25" t="s">
        <v>16</v>
      </c>
      <c r="F135" s="25" t="s">
        <v>1078</v>
      </c>
      <c r="G135" s="26" t="s">
        <v>2619</v>
      </c>
      <c r="H135" s="26" t="s">
        <v>78</v>
      </c>
      <c r="I135" s="20" t="s">
        <v>1236</v>
      </c>
      <c r="J135" s="20" t="s">
        <v>80</v>
      </c>
      <c r="K135" s="20"/>
    </row>
    <row r="136" spans="1:11" ht="48" x14ac:dyDescent="0.15">
      <c r="A136" s="20" t="s">
        <v>1237</v>
      </c>
      <c r="B136" s="20" t="s">
        <v>1231</v>
      </c>
      <c r="C136" s="20" t="s">
        <v>1040</v>
      </c>
      <c r="D136" s="25" t="s">
        <v>1238</v>
      </c>
      <c r="E136" s="25" t="s">
        <v>16</v>
      </c>
      <c r="F136" s="25" t="s">
        <v>815</v>
      </c>
      <c r="G136" s="26" t="s">
        <v>2620</v>
      </c>
      <c r="H136" s="26" t="s">
        <v>78</v>
      </c>
      <c r="I136" s="20" t="s">
        <v>1239</v>
      </c>
      <c r="J136" s="20" t="s">
        <v>80</v>
      </c>
      <c r="K136" s="20"/>
    </row>
    <row r="137" spans="1:11" ht="48" x14ac:dyDescent="0.15">
      <c r="A137" s="20" t="s">
        <v>1240</v>
      </c>
      <c r="B137" s="20" t="s">
        <v>1231</v>
      </c>
      <c r="C137" s="20" t="s">
        <v>1040</v>
      </c>
      <c r="D137" s="25" t="s">
        <v>1241</v>
      </c>
      <c r="E137" s="25" t="s">
        <v>16</v>
      </c>
      <c r="F137" s="25" t="s">
        <v>815</v>
      </c>
      <c r="G137" s="26" t="s">
        <v>2621</v>
      </c>
      <c r="H137" s="26" t="s">
        <v>78</v>
      </c>
      <c r="I137" s="20" t="s">
        <v>1242</v>
      </c>
      <c r="J137" s="20" t="s">
        <v>80</v>
      </c>
      <c r="K137" s="20"/>
    </row>
    <row r="138" spans="1:11" ht="48" x14ac:dyDescent="0.15">
      <c r="A138" s="20" t="s">
        <v>1243</v>
      </c>
      <c r="B138" s="20" t="s">
        <v>1231</v>
      </c>
      <c r="C138" s="20" t="s">
        <v>1040</v>
      </c>
      <c r="D138" s="25" t="s">
        <v>1244</v>
      </c>
      <c r="E138" s="25" t="s">
        <v>16</v>
      </c>
      <c r="F138" s="25" t="s">
        <v>815</v>
      </c>
      <c r="G138" s="26" t="s">
        <v>2622</v>
      </c>
      <c r="H138" s="26" t="s">
        <v>78</v>
      </c>
      <c r="I138" s="20" t="s">
        <v>1245</v>
      </c>
      <c r="J138" s="20" t="s">
        <v>80</v>
      </c>
      <c r="K138" s="20" t="s">
        <v>2506</v>
      </c>
    </row>
    <row r="139" spans="1:11" ht="92.5" customHeight="1" x14ac:dyDescent="0.15">
      <c r="A139" s="20" t="s">
        <v>1246</v>
      </c>
      <c r="B139" s="20" t="s">
        <v>1231</v>
      </c>
      <c r="C139" s="20" t="s">
        <v>1040</v>
      </c>
      <c r="D139" s="25" t="s">
        <v>1247</v>
      </c>
      <c r="E139" s="25" t="s">
        <v>16</v>
      </c>
      <c r="F139" s="25" t="s">
        <v>815</v>
      </c>
      <c r="G139" s="26" t="s">
        <v>2623</v>
      </c>
      <c r="H139" s="26" t="s">
        <v>78</v>
      </c>
      <c r="I139" s="20" t="s">
        <v>1248</v>
      </c>
      <c r="J139" s="20" t="s">
        <v>80</v>
      </c>
      <c r="K139" s="20"/>
    </row>
    <row r="140" spans="1:11" ht="80" x14ac:dyDescent="0.15">
      <c r="A140" s="27" t="s">
        <v>1249</v>
      </c>
      <c r="B140" s="28" t="s">
        <v>1250</v>
      </c>
      <c r="C140" s="28" t="s">
        <v>1251</v>
      </c>
      <c r="D140" s="29" t="s">
        <v>1252</v>
      </c>
      <c r="E140" s="28" t="s">
        <v>815</v>
      </c>
      <c r="F140" s="29" t="s">
        <v>815</v>
      </c>
      <c r="G140" s="29" t="s">
        <v>2624</v>
      </c>
      <c r="H140" s="28" t="s">
        <v>815</v>
      </c>
      <c r="I140" s="29" t="s">
        <v>1253</v>
      </c>
      <c r="J140" s="28" t="s">
        <v>80</v>
      </c>
      <c r="K140" s="29" t="s">
        <v>2625</v>
      </c>
    </row>
  </sheetData>
  <dataValidations count="1">
    <dataValidation type="list" allowBlank="1" sqref="J2:J123" xr:uid="{00000000-0002-0000-0600-000000000000}">
      <formula1>"⬜,🔄,✅,⏸️"</formula1>
      <formula2>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37"/>
  <sheetViews>
    <sheetView tabSelected="1" workbookViewId="0">
      <selection sqref="A1:J1"/>
    </sheetView>
  </sheetViews>
  <sheetFormatPr baseColWidth="10" defaultColWidth="8.6640625" defaultRowHeight="13" x14ac:dyDescent="0.15"/>
  <cols>
    <col min="1" max="1" width="10" customWidth="1"/>
    <col min="2" max="3" width="14" customWidth="1"/>
    <col min="4" max="6" width="18" customWidth="1"/>
    <col min="7" max="8" width="20" customWidth="1"/>
    <col min="9" max="10" width="34" customWidth="1"/>
  </cols>
  <sheetData>
    <row r="1" spans="1:10" ht="27.75" customHeight="1" x14ac:dyDescent="0.15">
      <c r="A1" s="11" t="s">
        <v>1254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 ht="27.75" customHeight="1" x14ac:dyDescent="0.2">
      <c r="A2" s="19" t="s">
        <v>1255</v>
      </c>
      <c r="B2" s="30">
        <v>46170</v>
      </c>
      <c r="C2" s="12" t="s">
        <v>1256</v>
      </c>
      <c r="D2" s="12"/>
      <c r="E2" s="12"/>
      <c r="F2" s="12"/>
      <c r="G2" s="12"/>
      <c r="H2" s="12"/>
      <c r="I2" s="12"/>
      <c r="J2" s="12"/>
    </row>
    <row r="3" spans="1:10" ht="42" customHeight="1" x14ac:dyDescent="0.15">
      <c r="A3" s="19" t="s">
        <v>1257</v>
      </c>
      <c r="B3" s="31">
        <f>B2+MOD(8-WEEKDAY(B2,2),7)</f>
        <v>46174</v>
      </c>
      <c r="C3" s="12" t="s">
        <v>1258</v>
      </c>
      <c r="D3" s="12"/>
      <c r="E3" s="12"/>
      <c r="F3" s="12"/>
      <c r="G3" s="12"/>
      <c r="H3" s="12"/>
      <c r="I3" s="12"/>
      <c r="J3" s="12"/>
    </row>
    <row r="4" spans="1:10" ht="21.75" customHeight="1" x14ac:dyDescent="0.15">
      <c r="A4" s="13" t="s">
        <v>1259</v>
      </c>
      <c r="B4" s="13"/>
      <c r="C4" s="13"/>
      <c r="D4" s="13"/>
      <c r="E4" s="13"/>
      <c r="F4" s="13"/>
      <c r="G4" s="13"/>
      <c r="H4" s="13"/>
      <c r="I4" s="13"/>
      <c r="J4" s="13"/>
    </row>
    <row r="5" spans="1:10" ht="21.75" customHeight="1" x14ac:dyDescent="0.15">
      <c r="A5" s="32" t="s">
        <v>2</v>
      </c>
      <c r="B5" s="32" t="s">
        <v>1260</v>
      </c>
      <c r="C5" s="32" t="s">
        <v>1261</v>
      </c>
      <c r="D5" s="32" t="s">
        <v>1262</v>
      </c>
      <c r="E5" s="32" t="s">
        <v>9</v>
      </c>
      <c r="F5" s="32" t="s">
        <v>1263</v>
      </c>
      <c r="G5" s="32" t="s">
        <v>1264</v>
      </c>
      <c r="H5" s="32" t="s">
        <v>1265</v>
      </c>
      <c r="I5" s="10" t="s">
        <v>71</v>
      </c>
      <c r="J5" s="10"/>
    </row>
    <row r="6" spans="1:10" ht="51.75" customHeight="1" x14ac:dyDescent="0.15">
      <c r="A6" s="33" t="s">
        <v>1266</v>
      </c>
      <c r="B6" s="33" t="s">
        <v>1267</v>
      </c>
      <c r="C6" s="22" t="s">
        <v>1268</v>
      </c>
      <c r="D6" s="22" t="s">
        <v>815</v>
      </c>
      <c r="E6" s="22" t="s">
        <v>1269</v>
      </c>
      <c r="F6" s="22" t="s">
        <v>1270</v>
      </c>
      <c r="G6" s="22" t="s">
        <v>1271</v>
      </c>
      <c r="H6" s="22" t="s">
        <v>1272</v>
      </c>
      <c r="I6" s="9" t="s">
        <v>1273</v>
      </c>
      <c r="J6" s="9"/>
    </row>
    <row r="7" spans="1:10" ht="51.75" customHeight="1" x14ac:dyDescent="0.15">
      <c r="A7" s="33" t="s">
        <v>1274</v>
      </c>
      <c r="B7" s="33" t="s">
        <v>1267</v>
      </c>
      <c r="C7" s="22" t="s">
        <v>1268</v>
      </c>
      <c r="D7" s="22" t="s">
        <v>815</v>
      </c>
      <c r="E7" s="22" t="s">
        <v>1275</v>
      </c>
      <c r="F7" s="22" t="s">
        <v>815</v>
      </c>
      <c r="G7" s="22" t="s">
        <v>1276</v>
      </c>
      <c r="H7" s="22" t="s">
        <v>1272</v>
      </c>
      <c r="I7" s="9" t="s">
        <v>1277</v>
      </c>
      <c r="J7" s="9"/>
    </row>
    <row r="8" spans="1:10" ht="51.75" customHeight="1" x14ac:dyDescent="0.15">
      <c r="A8" s="33" t="s">
        <v>1278</v>
      </c>
      <c r="B8" s="33" t="s">
        <v>1279</v>
      </c>
      <c r="C8" s="22" t="s">
        <v>1280</v>
      </c>
      <c r="D8" s="22" t="s">
        <v>1281</v>
      </c>
      <c r="E8" s="22" t="s">
        <v>815</v>
      </c>
      <c r="F8" s="22" t="s">
        <v>815</v>
      </c>
      <c r="G8" s="22" t="s">
        <v>1282</v>
      </c>
      <c r="H8" s="22" t="s">
        <v>1272</v>
      </c>
      <c r="I8" s="9" t="s">
        <v>1283</v>
      </c>
      <c r="J8" s="9"/>
    </row>
    <row r="9" spans="1:10" ht="51.75" customHeight="1" x14ac:dyDescent="0.15">
      <c r="A9" s="33" t="s">
        <v>1284</v>
      </c>
      <c r="B9" s="33" t="s">
        <v>1279</v>
      </c>
      <c r="C9" s="22" t="s">
        <v>1280</v>
      </c>
      <c r="D9" s="22" t="s">
        <v>1281</v>
      </c>
      <c r="E9" s="22" t="s">
        <v>815</v>
      </c>
      <c r="F9" s="22" t="s">
        <v>1285</v>
      </c>
      <c r="G9" s="22" t="s">
        <v>1286</v>
      </c>
      <c r="H9" s="22" t="s">
        <v>1272</v>
      </c>
      <c r="I9" s="9" t="s">
        <v>1287</v>
      </c>
      <c r="J9" s="9"/>
    </row>
    <row r="10" spans="1:10" ht="51.75" customHeight="1" x14ac:dyDescent="0.15">
      <c r="A10" s="33" t="s">
        <v>1288</v>
      </c>
      <c r="B10" s="33" t="s">
        <v>1279</v>
      </c>
      <c r="C10" s="22" t="s">
        <v>1280</v>
      </c>
      <c r="D10" s="22" t="s">
        <v>1281</v>
      </c>
      <c r="E10" s="22" t="s">
        <v>815</v>
      </c>
      <c r="F10" s="22" t="s">
        <v>815</v>
      </c>
      <c r="G10" s="22" t="s">
        <v>1289</v>
      </c>
      <c r="H10" s="22" t="s">
        <v>1272</v>
      </c>
      <c r="I10" s="9" t="s">
        <v>1290</v>
      </c>
      <c r="J10" s="9"/>
    </row>
    <row r="11" spans="1:10" ht="51.75" customHeight="1" x14ac:dyDescent="0.15">
      <c r="A11" s="33" t="s">
        <v>1291</v>
      </c>
      <c r="B11" s="33" t="s">
        <v>1292</v>
      </c>
      <c r="C11" s="22" t="s">
        <v>815</v>
      </c>
      <c r="D11" s="22" t="s">
        <v>815</v>
      </c>
      <c r="E11" s="22" t="s">
        <v>1293</v>
      </c>
      <c r="F11" s="22" t="s">
        <v>1294</v>
      </c>
      <c r="G11" s="22" t="s">
        <v>1295</v>
      </c>
      <c r="H11" s="22" t="s">
        <v>1265</v>
      </c>
      <c r="I11" s="9" t="s">
        <v>1296</v>
      </c>
      <c r="J11" s="9"/>
    </row>
    <row r="12" spans="1:10" ht="51.75" customHeight="1" x14ac:dyDescent="0.15">
      <c r="A12" s="33" t="s">
        <v>1297</v>
      </c>
      <c r="B12" s="33" t="s">
        <v>1292</v>
      </c>
      <c r="C12" s="22" t="s">
        <v>815</v>
      </c>
      <c r="D12" s="22" t="s">
        <v>815</v>
      </c>
      <c r="E12" s="22" t="s">
        <v>1298</v>
      </c>
      <c r="F12" s="22" t="s">
        <v>815</v>
      </c>
      <c r="G12" s="22" t="s">
        <v>1299</v>
      </c>
      <c r="H12" s="22" t="s">
        <v>1265</v>
      </c>
      <c r="I12" s="9" t="s">
        <v>1300</v>
      </c>
      <c r="J12" s="9"/>
    </row>
    <row r="14" spans="1:10" ht="21.75" customHeight="1" x14ac:dyDescent="0.15">
      <c r="A14" s="13" t="s">
        <v>1301</v>
      </c>
      <c r="B14" s="13"/>
      <c r="C14" s="13"/>
      <c r="D14" s="13"/>
      <c r="E14" s="13"/>
      <c r="F14" s="13"/>
      <c r="G14" s="13"/>
      <c r="H14" s="13"/>
      <c r="I14" s="13"/>
      <c r="J14" s="13"/>
    </row>
    <row r="15" spans="1:10" ht="30" customHeight="1" x14ac:dyDescent="0.15">
      <c r="A15" s="32" t="s">
        <v>61</v>
      </c>
      <c r="B15" s="32" t="s">
        <v>1302</v>
      </c>
      <c r="C15" s="32" t="s">
        <v>1303</v>
      </c>
      <c r="D15" s="32" t="s">
        <v>1304</v>
      </c>
      <c r="E15" s="32" t="s">
        <v>1305</v>
      </c>
      <c r="F15" s="32" t="s">
        <v>1306</v>
      </c>
      <c r="G15" s="32" t="s">
        <v>1307</v>
      </c>
      <c r="H15" s="32" t="s">
        <v>1308</v>
      </c>
      <c r="I15" s="32" t="s">
        <v>1309</v>
      </c>
      <c r="J15" s="32" t="s">
        <v>1310</v>
      </c>
    </row>
    <row r="16" spans="1:10" ht="31.5" customHeight="1" x14ac:dyDescent="0.15">
      <c r="A16" s="34" t="s">
        <v>1311</v>
      </c>
      <c r="B16" s="35">
        <f>$B$3+0</f>
        <v>46174</v>
      </c>
      <c r="C16" s="35">
        <f t="shared" ref="C16:C47" si="0">B16+6</f>
        <v>46180</v>
      </c>
      <c r="D16" s="36">
        <v>14</v>
      </c>
      <c r="E16" s="36">
        <v>21</v>
      </c>
      <c r="F16" s="37">
        <v>8.25</v>
      </c>
      <c r="G16" s="37">
        <v>6.33</v>
      </c>
      <c r="H16" s="37">
        <v>6</v>
      </c>
      <c r="I16" s="22" t="s">
        <v>1312</v>
      </c>
      <c r="J16" s="22" t="s">
        <v>1313</v>
      </c>
    </row>
    <row r="17" spans="1:10" ht="31.5" customHeight="1" x14ac:dyDescent="0.15">
      <c r="A17" s="34" t="s">
        <v>1314</v>
      </c>
      <c r="B17" s="35">
        <f>$B$3+7</f>
        <v>46181</v>
      </c>
      <c r="C17" s="35">
        <f t="shared" si="0"/>
        <v>46187</v>
      </c>
      <c r="D17" s="36">
        <v>14</v>
      </c>
      <c r="E17" s="36">
        <v>21</v>
      </c>
      <c r="F17" s="37">
        <v>8.25</v>
      </c>
      <c r="G17" s="37">
        <v>6.33</v>
      </c>
      <c r="H17" s="37">
        <v>6</v>
      </c>
      <c r="I17" s="22" t="s">
        <v>1312</v>
      </c>
      <c r="J17" s="22" t="s">
        <v>1313</v>
      </c>
    </row>
    <row r="18" spans="1:10" ht="31.5" customHeight="1" x14ac:dyDescent="0.15">
      <c r="A18" s="34" t="s">
        <v>1315</v>
      </c>
      <c r="B18" s="35">
        <f>$B$3+14</f>
        <v>46188</v>
      </c>
      <c r="C18" s="35">
        <f t="shared" si="0"/>
        <v>46194</v>
      </c>
      <c r="D18" s="36">
        <v>14</v>
      </c>
      <c r="E18" s="36">
        <v>21</v>
      </c>
      <c r="F18" s="37">
        <v>8.25</v>
      </c>
      <c r="G18" s="37">
        <v>6.33</v>
      </c>
      <c r="H18" s="37">
        <v>6</v>
      </c>
      <c r="I18" s="22" t="s">
        <v>1312</v>
      </c>
      <c r="J18" s="22" t="s">
        <v>1313</v>
      </c>
    </row>
    <row r="19" spans="1:10" ht="31.5" customHeight="1" x14ac:dyDescent="0.15">
      <c r="A19" s="34" t="s">
        <v>1316</v>
      </c>
      <c r="B19" s="35">
        <f>$B$3+21</f>
        <v>46195</v>
      </c>
      <c r="C19" s="35">
        <f t="shared" si="0"/>
        <v>46201</v>
      </c>
      <c r="D19" s="36">
        <v>14</v>
      </c>
      <c r="E19" s="36">
        <v>21</v>
      </c>
      <c r="F19" s="37">
        <v>8.25</v>
      </c>
      <c r="G19" s="37">
        <v>6.33</v>
      </c>
      <c r="H19" s="37">
        <v>6</v>
      </c>
      <c r="I19" s="22" t="s">
        <v>1312</v>
      </c>
      <c r="J19" s="22" t="s">
        <v>1313</v>
      </c>
    </row>
    <row r="20" spans="1:10" ht="31.5" customHeight="1" x14ac:dyDescent="0.15">
      <c r="A20" s="34" t="s">
        <v>1317</v>
      </c>
      <c r="B20" s="35">
        <f>$B$3+28</f>
        <v>46202</v>
      </c>
      <c r="C20" s="35">
        <f t="shared" si="0"/>
        <v>46208</v>
      </c>
      <c r="D20" s="36">
        <v>14</v>
      </c>
      <c r="E20" s="36">
        <v>21</v>
      </c>
      <c r="F20" s="37">
        <v>8.25</v>
      </c>
      <c r="G20" s="37">
        <v>6.33</v>
      </c>
      <c r="H20" s="37">
        <v>6</v>
      </c>
      <c r="I20" s="22" t="s">
        <v>1312</v>
      </c>
      <c r="J20" s="22" t="s">
        <v>1313</v>
      </c>
    </row>
    <row r="21" spans="1:10" ht="31.5" customHeight="1" x14ac:dyDescent="0.15">
      <c r="A21" s="34" t="s">
        <v>1318</v>
      </c>
      <c r="B21" s="35">
        <f>$B$3+35</f>
        <v>46209</v>
      </c>
      <c r="C21" s="35">
        <f t="shared" si="0"/>
        <v>46215</v>
      </c>
      <c r="D21" s="36">
        <v>14</v>
      </c>
      <c r="E21" s="36">
        <v>21</v>
      </c>
      <c r="F21" s="37">
        <v>8.25</v>
      </c>
      <c r="G21" s="37">
        <v>6.33</v>
      </c>
      <c r="H21" s="37">
        <v>6</v>
      </c>
      <c r="I21" s="22" t="s">
        <v>1312</v>
      </c>
      <c r="J21" s="22" t="s">
        <v>1313</v>
      </c>
    </row>
    <row r="22" spans="1:10" ht="31.5" customHeight="1" x14ac:dyDescent="0.15">
      <c r="A22" s="34" t="s">
        <v>1319</v>
      </c>
      <c r="B22" s="35">
        <f>$B$3+42</f>
        <v>46216</v>
      </c>
      <c r="C22" s="35">
        <f t="shared" si="0"/>
        <v>46222</v>
      </c>
      <c r="D22" s="36">
        <v>14</v>
      </c>
      <c r="E22" s="36">
        <v>21</v>
      </c>
      <c r="F22" s="37">
        <v>8.25</v>
      </c>
      <c r="G22" s="37">
        <v>6.33</v>
      </c>
      <c r="H22" s="37">
        <v>6</v>
      </c>
      <c r="I22" s="22" t="s">
        <v>1312</v>
      </c>
      <c r="J22" s="22" t="s">
        <v>1313</v>
      </c>
    </row>
    <row r="23" spans="1:10" ht="31.5" customHeight="1" x14ac:dyDescent="0.15">
      <c r="A23" s="34" t="s">
        <v>1320</v>
      </c>
      <c r="B23" s="35">
        <f>$B$3+49</f>
        <v>46223</v>
      </c>
      <c r="C23" s="35">
        <f t="shared" si="0"/>
        <v>46229</v>
      </c>
      <c r="D23" s="36">
        <v>14</v>
      </c>
      <c r="E23" s="36">
        <v>21</v>
      </c>
      <c r="F23" s="37">
        <v>8.25</v>
      </c>
      <c r="G23" s="37">
        <v>6.33</v>
      </c>
      <c r="H23" s="37">
        <v>6</v>
      </c>
      <c r="I23" s="22" t="s">
        <v>1312</v>
      </c>
      <c r="J23" s="22" t="s">
        <v>1313</v>
      </c>
    </row>
    <row r="24" spans="1:10" ht="31.5" customHeight="1" x14ac:dyDescent="0.15">
      <c r="A24" s="34" t="s">
        <v>1321</v>
      </c>
      <c r="B24" s="35">
        <f>$B$3+56</f>
        <v>46230</v>
      </c>
      <c r="C24" s="35">
        <f t="shared" si="0"/>
        <v>46236</v>
      </c>
      <c r="D24" s="36">
        <v>14</v>
      </c>
      <c r="E24" s="36">
        <v>21</v>
      </c>
      <c r="F24" s="37">
        <v>8.25</v>
      </c>
      <c r="G24" s="37">
        <v>6.33</v>
      </c>
      <c r="H24" s="37">
        <v>6</v>
      </c>
      <c r="I24" s="22" t="s">
        <v>1312</v>
      </c>
      <c r="J24" s="22" t="s">
        <v>1313</v>
      </c>
    </row>
    <row r="25" spans="1:10" ht="31.5" customHeight="1" x14ac:dyDescent="0.15">
      <c r="A25" s="34" t="s">
        <v>1322</v>
      </c>
      <c r="B25" s="35">
        <f>$B$3+63</f>
        <v>46237</v>
      </c>
      <c r="C25" s="35">
        <f t="shared" si="0"/>
        <v>46243</v>
      </c>
      <c r="D25" s="36">
        <v>14</v>
      </c>
      <c r="E25" s="36">
        <v>21</v>
      </c>
      <c r="F25" s="37">
        <v>8.25</v>
      </c>
      <c r="G25" s="37">
        <v>6.33</v>
      </c>
      <c r="H25" s="37">
        <v>6</v>
      </c>
      <c r="I25" s="22" t="s">
        <v>1312</v>
      </c>
      <c r="J25" s="22" t="s">
        <v>1313</v>
      </c>
    </row>
    <row r="26" spans="1:10" ht="31.5" customHeight="1" x14ac:dyDescent="0.15">
      <c r="A26" s="34" t="s">
        <v>1323</v>
      </c>
      <c r="B26" s="35">
        <f>$B$3+70</f>
        <v>46244</v>
      </c>
      <c r="C26" s="35">
        <f t="shared" si="0"/>
        <v>46250</v>
      </c>
      <c r="D26" s="36">
        <v>14</v>
      </c>
      <c r="E26" s="36">
        <v>21</v>
      </c>
      <c r="F26" s="37">
        <v>8.25</v>
      </c>
      <c r="G26" s="37">
        <v>6.33</v>
      </c>
      <c r="H26" s="37">
        <v>6</v>
      </c>
      <c r="I26" s="22" t="s">
        <v>1312</v>
      </c>
      <c r="J26" s="22" t="s">
        <v>1313</v>
      </c>
    </row>
    <row r="27" spans="1:10" ht="31.5" customHeight="1" x14ac:dyDescent="0.15">
      <c r="A27" s="34" t="s">
        <v>1324</v>
      </c>
      <c r="B27" s="35">
        <f>$B$3+77</f>
        <v>46251</v>
      </c>
      <c r="C27" s="35">
        <f t="shared" si="0"/>
        <v>46257</v>
      </c>
      <c r="D27" s="36">
        <v>14</v>
      </c>
      <c r="E27" s="36">
        <v>21</v>
      </c>
      <c r="F27" s="37">
        <v>8.25</v>
      </c>
      <c r="G27" s="37">
        <v>6.33</v>
      </c>
      <c r="H27" s="37">
        <v>6</v>
      </c>
      <c r="I27" s="22" t="s">
        <v>1312</v>
      </c>
      <c r="J27" s="22" t="s">
        <v>1313</v>
      </c>
    </row>
    <row r="28" spans="1:10" ht="31.5" customHeight="1" x14ac:dyDescent="0.15">
      <c r="A28" s="34" t="s">
        <v>1325</v>
      </c>
      <c r="B28" s="35">
        <f>$B$3+84</f>
        <v>46258</v>
      </c>
      <c r="C28" s="35">
        <f t="shared" si="0"/>
        <v>46264</v>
      </c>
      <c r="D28" s="36">
        <v>14</v>
      </c>
      <c r="E28" s="36">
        <v>21</v>
      </c>
      <c r="F28" s="37">
        <v>8.25</v>
      </c>
      <c r="G28" s="37">
        <v>6.33</v>
      </c>
      <c r="H28" s="37">
        <v>6</v>
      </c>
      <c r="I28" s="22" t="s">
        <v>1312</v>
      </c>
      <c r="J28" s="22" t="s">
        <v>1313</v>
      </c>
    </row>
    <row r="29" spans="1:10" ht="31.5" customHeight="1" x14ac:dyDescent="0.15">
      <c r="A29" s="34" t="s">
        <v>1326</v>
      </c>
      <c r="B29" s="35">
        <f>$B$3+91</f>
        <v>46265</v>
      </c>
      <c r="C29" s="35">
        <f t="shared" si="0"/>
        <v>46271</v>
      </c>
      <c r="D29" s="36">
        <v>14</v>
      </c>
      <c r="E29" s="36">
        <v>21</v>
      </c>
      <c r="F29" s="37">
        <v>8.25</v>
      </c>
      <c r="G29" s="37">
        <v>6.33</v>
      </c>
      <c r="H29" s="37">
        <v>6</v>
      </c>
      <c r="I29" s="22" t="s">
        <v>1312</v>
      </c>
      <c r="J29" s="22" t="s">
        <v>1313</v>
      </c>
    </row>
    <row r="30" spans="1:10" ht="31.5" customHeight="1" x14ac:dyDescent="0.15">
      <c r="A30" s="34" t="s">
        <v>1327</v>
      </c>
      <c r="B30" s="35">
        <f>$B$3+98</f>
        <v>46272</v>
      </c>
      <c r="C30" s="35">
        <f t="shared" si="0"/>
        <v>46278</v>
      </c>
      <c r="D30" s="36">
        <v>14</v>
      </c>
      <c r="E30" s="36">
        <v>21</v>
      </c>
      <c r="F30" s="37">
        <v>8.25</v>
      </c>
      <c r="G30" s="37">
        <v>6.33</v>
      </c>
      <c r="H30" s="37">
        <v>6</v>
      </c>
      <c r="I30" s="22" t="s">
        <v>1312</v>
      </c>
      <c r="J30" s="22" t="s">
        <v>1313</v>
      </c>
    </row>
    <row r="31" spans="1:10" ht="31.5" customHeight="1" x14ac:dyDescent="0.15">
      <c r="A31" s="34" t="s">
        <v>1328</v>
      </c>
      <c r="B31" s="35">
        <f>$B$3+105</f>
        <v>46279</v>
      </c>
      <c r="C31" s="35">
        <f t="shared" si="0"/>
        <v>46285</v>
      </c>
      <c r="D31" s="36">
        <v>14</v>
      </c>
      <c r="E31" s="36">
        <v>21</v>
      </c>
      <c r="F31" s="37">
        <v>8.25</v>
      </c>
      <c r="G31" s="37">
        <v>6.33</v>
      </c>
      <c r="H31" s="37">
        <v>6</v>
      </c>
      <c r="I31" s="22" t="s">
        <v>1312</v>
      </c>
      <c r="J31" s="22" t="s">
        <v>1313</v>
      </c>
    </row>
    <row r="32" spans="1:10" ht="31.5" customHeight="1" x14ac:dyDescent="0.15">
      <c r="A32" s="34" t="s">
        <v>1329</v>
      </c>
      <c r="B32" s="35">
        <f>$B$3+112</f>
        <v>46286</v>
      </c>
      <c r="C32" s="35">
        <f t="shared" si="0"/>
        <v>46292</v>
      </c>
      <c r="D32" s="36">
        <v>14</v>
      </c>
      <c r="E32" s="36">
        <v>21</v>
      </c>
      <c r="F32" s="37">
        <v>8.25</v>
      </c>
      <c r="G32" s="37">
        <v>6.33</v>
      </c>
      <c r="H32" s="37">
        <v>6</v>
      </c>
      <c r="I32" s="22" t="s">
        <v>1312</v>
      </c>
      <c r="J32" s="22" t="s">
        <v>1313</v>
      </c>
    </row>
    <row r="33" spans="1:10" ht="31.5" customHeight="1" x14ac:dyDescent="0.15">
      <c r="A33" s="34" t="s">
        <v>1330</v>
      </c>
      <c r="B33" s="35">
        <f>$B$3+119</f>
        <v>46293</v>
      </c>
      <c r="C33" s="35">
        <f t="shared" si="0"/>
        <v>46299</v>
      </c>
      <c r="D33" s="36">
        <v>14</v>
      </c>
      <c r="E33" s="36">
        <v>21</v>
      </c>
      <c r="F33" s="37">
        <v>8.25</v>
      </c>
      <c r="G33" s="37">
        <v>6.33</v>
      </c>
      <c r="H33" s="37">
        <v>6</v>
      </c>
      <c r="I33" s="22" t="s">
        <v>1312</v>
      </c>
      <c r="J33" s="22" t="s">
        <v>1313</v>
      </c>
    </row>
    <row r="34" spans="1:10" ht="31.5" customHeight="1" x14ac:dyDescent="0.15">
      <c r="A34" s="34" t="s">
        <v>1331</v>
      </c>
      <c r="B34" s="35">
        <f>$B$3+126</f>
        <v>46300</v>
      </c>
      <c r="C34" s="35">
        <f t="shared" si="0"/>
        <v>46306</v>
      </c>
      <c r="D34" s="36">
        <v>14</v>
      </c>
      <c r="E34" s="36">
        <v>21</v>
      </c>
      <c r="F34" s="37">
        <v>8.25</v>
      </c>
      <c r="G34" s="37">
        <v>6.33</v>
      </c>
      <c r="H34" s="37">
        <v>6</v>
      </c>
      <c r="I34" s="22" t="s">
        <v>1312</v>
      </c>
      <c r="J34" s="22" t="s">
        <v>1313</v>
      </c>
    </row>
    <row r="35" spans="1:10" ht="31.5" customHeight="1" x14ac:dyDescent="0.15">
      <c r="A35" s="34" t="s">
        <v>1332</v>
      </c>
      <c r="B35" s="35">
        <f>$B$3+133</f>
        <v>46307</v>
      </c>
      <c r="C35" s="35">
        <f t="shared" si="0"/>
        <v>46313</v>
      </c>
      <c r="D35" s="36">
        <v>14</v>
      </c>
      <c r="E35" s="36">
        <v>21</v>
      </c>
      <c r="F35" s="37">
        <v>8.25</v>
      </c>
      <c r="G35" s="37">
        <v>6.33</v>
      </c>
      <c r="H35" s="37">
        <v>6</v>
      </c>
      <c r="I35" s="22" t="s">
        <v>1312</v>
      </c>
      <c r="J35" s="22" t="s">
        <v>1313</v>
      </c>
    </row>
    <row r="36" spans="1:10" ht="31.5" customHeight="1" x14ac:dyDescent="0.15">
      <c r="A36" s="34" t="s">
        <v>1333</v>
      </c>
      <c r="B36" s="35">
        <f>$B$3+140</f>
        <v>46314</v>
      </c>
      <c r="C36" s="35">
        <f t="shared" si="0"/>
        <v>46320</v>
      </c>
      <c r="D36" s="36">
        <v>14</v>
      </c>
      <c r="E36" s="36">
        <v>21</v>
      </c>
      <c r="F36" s="37">
        <v>8.25</v>
      </c>
      <c r="G36" s="37">
        <v>6.33</v>
      </c>
      <c r="H36" s="37">
        <v>6</v>
      </c>
      <c r="I36" s="22" t="s">
        <v>1312</v>
      </c>
      <c r="J36" s="22" t="s">
        <v>1313</v>
      </c>
    </row>
    <row r="37" spans="1:10" ht="31.5" customHeight="1" x14ac:dyDescent="0.15">
      <c r="A37" s="34" t="s">
        <v>1334</v>
      </c>
      <c r="B37" s="35">
        <f>$B$3+147</f>
        <v>46321</v>
      </c>
      <c r="C37" s="35">
        <f t="shared" si="0"/>
        <v>46327</v>
      </c>
      <c r="D37" s="36">
        <v>14</v>
      </c>
      <c r="E37" s="36">
        <v>21</v>
      </c>
      <c r="F37" s="37">
        <v>8.25</v>
      </c>
      <c r="G37" s="37">
        <v>6.33</v>
      </c>
      <c r="H37" s="37">
        <v>6</v>
      </c>
      <c r="I37" s="22" t="s">
        <v>1312</v>
      </c>
      <c r="J37" s="22" t="s">
        <v>1313</v>
      </c>
    </row>
    <row r="38" spans="1:10" ht="31.5" customHeight="1" x14ac:dyDescent="0.15">
      <c r="A38" s="34" t="s">
        <v>1335</v>
      </c>
      <c r="B38" s="35">
        <f>$B$3+154</f>
        <v>46328</v>
      </c>
      <c r="C38" s="35">
        <f t="shared" si="0"/>
        <v>46334</v>
      </c>
      <c r="D38" s="36">
        <v>14</v>
      </c>
      <c r="E38" s="36">
        <v>21</v>
      </c>
      <c r="F38" s="37">
        <v>8.25</v>
      </c>
      <c r="G38" s="37">
        <v>6.33</v>
      </c>
      <c r="H38" s="37">
        <v>6</v>
      </c>
      <c r="I38" s="22" t="s">
        <v>1312</v>
      </c>
      <c r="J38" s="22" t="s">
        <v>1313</v>
      </c>
    </row>
    <row r="39" spans="1:10" ht="31.5" customHeight="1" x14ac:dyDescent="0.15">
      <c r="A39" s="34" t="s">
        <v>1336</v>
      </c>
      <c r="B39" s="35">
        <f>$B$3+161</f>
        <v>46335</v>
      </c>
      <c r="C39" s="35">
        <f t="shared" si="0"/>
        <v>46341</v>
      </c>
      <c r="D39" s="36">
        <v>14</v>
      </c>
      <c r="E39" s="36">
        <v>21</v>
      </c>
      <c r="F39" s="37">
        <v>8.25</v>
      </c>
      <c r="G39" s="37">
        <v>6.33</v>
      </c>
      <c r="H39" s="37">
        <v>6</v>
      </c>
      <c r="I39" s="22" t="s">
        <v>1312</v>
      </c>
      <c r="J39" s="22" t="s">
        <v>1313</v>
      </c>
    </row>
    <row r="40" spans="1:10" ht="31.5" customHeight="1" x14ac:dyDescent="0.15">
      <c r="A40" s="34" t="s">
        <v>1337</v>
      </c>
      <c r="B40" s="35">
        <f>$B$3+168</f>
        <v>46342</v>
      </c>
      <c r="C40" s="35">
        <f t="shared" si="0"/>
        <v>46348</v>
      </c>
      <c r="D40" s="36">
        <v>14</v>
      </c>
      <c r="E40" s="36">
        <v>21</v>
      </c>
      <c r="F40" s="37">
        <v>8.25</v>
      </c>
      <c r="G40" s="37">
        <v>6.33</v>
      </c>
      <c r="H40" s="37">
        <v>6</v>
      </c>
      <c r="I40" s="22" t="s">
        <v>1312</v>
      </c>
      <c r="J40" s="22" t="s">
        <v>1313</v>
      </c>
    </row>
    <row r="41" spans="1:10" ht="31.5" customHeight="1" x14ac:dyDescent="0.15">
      <c r="A41" s="34" t="s">
        <v>1338</v>
      </c>
      <c r="B41" s="35">
        <f>$B$3+175</f>
        <v>46349</v>
      </c>
      <c r="C41" s="35">
        <f t="shared" si="0"/>
        <v>46355</v>
      </c>
      <c r="D41" s="36">
        <v>14</v>
      </c>
      <c r="E41" s="36">
        <v>21</v>
      </c>
      <c r="F41" s="37">
        <v>8.25</v>
      </c>
      <c r="G41" s="37">
        <v>6.33</v>
      </c>
      <c r="H41" s="37">
        <v>6</v>
      </c>
      <c r="I41" s="22" t="s">
        <v>1312</v>
      </c>
      <c r="J41" s="22" t="s">
        <v>1313</v>
      </c>
    </row>
    <row r="42" spans="1:10" ht="31.5" customHeight="1" x14ac:dyDescent="0.15">
      <c r="A42" s="34" t="s">
        <v>1339</v>
      </c>
      <c r="B42" s="35">
        <f>$B$3+182</f>
        <v>46356</v>
      </c>
      <c r="C42" s="35">
        <f t="shared" si="0"/>
        <v>46362</v>
      </c>
      <c r="D42" s="36">
        <v>14</v>
      </c>
      <c r="E42" s="36">
        <v>21</v>
      </c>
      <c r="F42" s="37">
        <v>8.25</v>
      </c>
      <c r="G42" s="37">
        <v>6.33</v>
      </c>
      <c r="H42" s="37">
        <v>6</v>
      </c>
      <c r="I42" s="22" t="s">
        <v>1312</v>
      </c>
      <c r="J42" s="22" t="s">
        <v>1313</v>
      </c>
    </row>
    <row r="43" spans="1:10" ht="31.5" customHeight="1" x14ac:dyDescent="0.15">
      <c r="A43" s="34" t="s">
        <v>1340</v>
      </c>
      <c r="B43" s="35">
        <f>$B$3+189</f>
        <v>46363</v>
      </c>
      <c r="C43" s="35">
        <f t="shared" si="0"/>
        <v>46369</v>
      </c>
      <c r="D43" s="36">
        <v>14</v>
      </c>
      <c r="E43" s="36">
        <v>21</v>
      </c>
      <c r="F43" s="37">
        <v>8.25</v>
      </c>
      <c r="G43" s="37">
        <v>6.33</v>
      </c>
      <c r="H43" s="37">
        <v>6</v>
      </c>
      <c r="I43" s="22" t="s">
        <v>1312</v>
      </c>
      <c r="J43" s="22" t="s">
        <v>1313</v>
      </c>
    </row>
    <row r="44" spans="1:10" ht="31.5" customHeight="1" x14ac:dyDescent="0.15">
      <c r="A44" s="34" t="s">
        <v>1341</v>
      </c>
      <c r="B44" s="35">
        <f>$B$3+196</f>
        <v>46370</v>
      </c>
      <c r="C44" s="35">
        <f t="shared" si="0"/>
        <v>46376</v>
      </c>
      <c r="D44" s="36">
        <v>14</v>
      </c>
      <c r="E44" s="36">
        <v>21</v>
      </c>
      <c r="F44" s="37">
        <v>8.25</v>
      </c>
      <c r="G44" s="37">
        <v>6.33</v>
      </c>
      <c r="H44" s="37">
        <v>6</v>
      </c>
      <c r="I44" s="22" t="s">
        <v>1312</v>
      </c>
      <c r="J44" s="22" t="s">
        <v>1313</v>
      </c>
    </row>
    <row r="45" spans="1:10" ht="31.5" customHeight="1" x14ac:dyDescent="0.15">
      <c r="A45" s="34" t="s">
        <v>1342</v>
      </c>
      <c r="B45" s="35">
        <f>$B$3+203</f>
        <v>46377</v>
      </c>
      <c r="C45" s="35">
        <f t="shared" si="0"/>
        <v>46383</v>
      </c>
      <c r="D45" s="36">
        <v>14</v>
      </c>
      <c r="E45" s="36">
        <v>21</v>
      </c>
      <c r="F45" s="37">
        <v>8.25</v>
      </c>
      <c r="G45" s="37">
        <v>6.33</v>
      </c>
      <c r="H45" s="37">
        <v>6</v>
      </c>
      <c r="I45" s="22" t="s">
        <v>1312</v>
      </c>
      <c r="J45" s="22" t="s">
        <v>1313</v>
      </c>
    </row>
    <row r="46" spans="1:10" ht="31.5" customHeight="1" x14ac:dyDescent="0.15">
      <c r="A46" s="34" t="s">
        <v>1343</v>
      </c>
      <c r="B46" s="35">
        <f>$B$3+210</f>
        <v>46384</v>
      </c>
      <c r="C46" s="35">
        <f t="shared" si="0"/>
        <v>46390</v>
      </c>
      <c r="D46" s="36">
        <v>14</v>
      </c>
      <c r="E46" s="36">
        <v>21</v>
      </c>
      <c r="F46" s="37">
        <v>8.25</v>
      </c>
      <c r="G46" s="37">
        <v>6.33</v>
      </c>
      <c r="H46" s="37">
        <v>6</v>
      </c>
      <c r="I46" s="22" t="s">
        <v>1312</v>
      </c>
      <c r="J46" s="22" t="s">
        <v>1313</v>
      </c>
    </row>
    <row r="47" spans="1:10" ht="31.5" customHeight="1" x14ac:dyDescent="0.15">
      <c r="A47" s="34" t="s">
        <v>1344</v>
      </c>
      <c r="B47" s="35">
        <f>$B$3+217</f>
        <v>46391</v>
      </c>
      <c r="C47" s="35">
        <f t="shared" si="0"/>
        <v>46397</v>
      </c>
      <c r="D47" s="36">
        <v>14</v>
      </c>
      <c r="E47" s="36">
        <v>21</v>
      </c>
      <c r="F47" s="37">
        <v>8.25</v>
      </c>
      <c r="G47" s="37">
        <v>6.33</v>
      </c>
      <c r="H47" s="37">
        <v>6</v>
      </c>
      <c r="I47" s="22" t="s">
        <v>1312</v>
      </c>
      <c r="J47" s="22" t="s">
        <v>1313</v>
      </c>
    </row>
    <row r="48" spans="1:10" ht="31.5" customHeight="1" x14ac:dyDescent="0.15">
      <c r="A48" s="34" t="s">
        <v>1345</v>
      </c>
      <c r="B48" s="35">
        <f>$B$3+224</f>
        <v>46398</v>
      </c>
      <c r="C48" s="35">
        <f t="shared" ref="C48:C79" si="1">B48+6</f>
        <v>46404</v>
      </c>
      <c r="D48" s="36">
        <v>14</v>
      </c>
      <c r="E48" s="36">
        <v>21</v>
      </c>
      <c r="F48" s="37">
        <v>8.25</v>
      </c>
      <c r="G48" s="37">
        <v>6.33</v>
      </c>
      <c r="H48" s="37">
        <v>6</v>
      </c>
      <c r="I48" s="22" t="s">
        <v>1312</v>
      </c>
      <c r="J48" s="22" t="s">
        <v>1313</v>
      </c>
    </row>
    <row r="49" spans="1:10" ht="31.5" customHeight="1" x14ac:dyDescent="0.15">
      <c r="A49" s="34" t="s">
        <v>1346</v>
      </c>
      <c r="B49" s="35">
        <f>$B$3+231</f>
        <v>46405</v>
      </c>
      <c r="C49" s="35">
        <f t="shared" si="1"/>
        <v>46411</v>
      </c>
      <c r="D49" s="36">
        <v>14</v>
      </c>
      <c r="E49" s="36">
        <v>21</v>
      </c>
      <c r="F49" s="37">
        <v>8.25</v>
      </c>
      <c r="G49" s="37">
        <v>6.33</v>
      </c>
      <c r="H49" s="37">
        <v>6</v>
      </c>
      <c r="I49" s="22" t="s">
        <v>1312</v>
      </c>
      <c r="J49" s="22" t="s">
        <v>1313</v>
      </c>
    </row>
    <row r="50" spans="1:10" ht="31.5" customHeight="1" x14ac:dyDescent="0.15">
      <c r="A50" s="34" t="s">
        <v>1347</v>
      </c>
      <c r="B50" s="35">
        <f>$B$3+238</f>
        <v>46412</v>
      </c>
      <c r="C50" s="35">
        <f t="shared" si="1"/>
        <v>46418</v>
      </c>
      <c r="D50" s="36">
        <v>14</v>
      </c>
      <c r="E50" s="36">
        <v>21</v>
      </c>
      <c r="F50" s="37">
        <v>8.25</v>
      </c>
      <c r="G50" s="37">
        <v>6.33</v>
      </c>
      <c r="H50" s="37">
        <v>6</v>
      </c>
      <c r="I50" s="22" t="s">
        <v>1312</v>
      </c>
      <c r="J50" s="22" t="s">
        <v>1313</v>
      </c>
    </row>
    <row r="51" spans="1:10" ht="31.5" customHeight="1" x14ac:dyDescent="0.15">
      <c r="A51" s="34" t="s">
        <v>1348</v>
      </c>
      <c r="B51" s="35">
        <f>$B$3+245</f>
        <v>46419</v>
      </c>
      <c r="C51" s="35">
        <f t="shared" si="1"/>
        <v>46425</v>
      </c>
      <c r="D51" s="36">
        <v>14</v>
      </c>
      <c r="E51" s="36">
        <v>21</v>
      </c>
      <c r="F51" s="37">
        <v>8.25</v>
      </c>
      <c r="G51" s="37">
        <v>6.33</v>
      </c>
      <c r="H51" s="37">
        <v>6</v>
      </c>
      <c r="I51" s="22" t="s">
        <v>1312</v>
      </c>
      <c r="J51" s="22" t="s">
        <v>1313</v>
      </c>
    </row>
    <row r="52" spans="1:10" ht="31.5" customHeight="1" x14ac:dyDescent="0.15">
      <c r="A52" s="34" t="s">
        <v>1349</v>
      </c>
      <c r="B52" s="35">
        <f>$B$3+252</f>
        <v>46426</v>
      </c>
      <c r="C52" s="35">
        <f t="shared" si="1"/>
        <v>46432</v>
      </c>
      <c r="D52" s="36">
        <v>14</v>
      </c>
      <c r="E52" s="36">
        <v>21</v>
      </c>
      <c r="F52" s="37">
        <v>8.25</v>
      </c>
      <c r="G52" s="37">
        <v>6.33</v>
      </c>
      <c r="H52" s="37">
        <v>6</v>
      </c>
      <c r="I52" s="22" t="s">
        <v>1312</v>
      </c>
      <c r="J52" s="22" t="s">
        <v>1313</v>
      </c>
    </row>
    <row r="53" spans="1:10" ht="31.5" customHeight="1" x14ac:dyDescent="0.15">
      <c r="A53" s="34" t="s">
        <v>1350</v>
      </c>
      <c r="B53" s="35">
        <f>$B$3+259</f>
        <v>46433</v>
      </c>
      <c r="C53" s="35">
        <f t="shared" si="1"/>
        <v>46439</v>
      </c>
      <c r="D53" s="36">
        <v>14</v>
      </c>
      <c r="E53" s="36">
        <v>21</v>
      </c>
      <c r="F53" s="37">
        <v>8.25</v>
      </c>
      <c r="G53" s="37">
        <v>6.33</v>
      </c>
      <c r="H53" s="37">
        <v>6</v>
      </c>
      <c r="I53" s="22" t="s">
        <v>1312</v>
      </c>
      <c r="J53" s="22" t="s">
        <v>1313</v>
      </c>
    </row>
    <row r="54" spans="1:10" ht="31.5" customHeight="1" x14ac:dyDescent="0.15">
      <c r="A54" s="34" t="s">
        <v>1351</v>
      </c>
      <c r="B54" s="35">
        <f>$B$3+266</f>
        <v>46440</v>
      </c>
      <c r="C54" s="35">
        <f t="shared" si="1"/>
        <v>46446</v>
      </c>
      <c r="D54" s="36">
        <v>14</v>
      </c>
      <c r="E54" s="36">
        <v>21</v>
      </c>
      <c r="F54" s="37">
        <v>8.25</v>
      </c>
      <c r="G54" s="37">
        <v>6.33</v>
      </c>
      <c r="H54" s="37">
        <v>6</v>
      </c>
      <c r="I54" s="22" t="s">
        <v>1312</v>
      </c>
      <c r="J54" s="22" t="s">
        <v>1313</v>
      </c>
    </row>
    <row r="55" spans="1:10" ht="31.5" customHeight="1" x14ac:dyDescent="0.15">
      <c r="A55" s="34" t="s">
        <v>1352</v>
      </c>
      <c r="B55" s="35">
        <f>$B$3+273</f>
        <v>46447</v>
      </c>
      <c r="C55" s="35">
        <f t="shared" si="1"/>
        <v>46453</v>
      </c>
      <c r="D55" s="36">
        <v>14</v>
      </c>
      <c r="E55" s="36">
        <v>21</v>
      </c>
      <c r="F55" s="37">
        <v>8.25</v>
      </c>
      <c r="G55" s="37">
        <v>6.33</v>
      </c>
      <c r="H55" s="37">
        <v>6</v>
      </c>
      <c r="I55" s="22" t="s">
        <v>1312</v>
      </c>
      <c r="J55" s="22" t="s">
        <v>1313</v>
      </c>
    </row>
    <row r="56" spans="1:10" ht="31.5" customHeight="1" x14ac:dyDescent="0.15">
      <c r="A56" s="34" t="s">
        <v>1353</v>
      </c>
      <c r="B56" s="35">
        <f>$B$3+280</f>
        <v>46454</v>
      </c>
      <c r="C56" s="35">
        <f t="shared" si="1"/>
        <v>46460</v>
      </c>
      <c r="D56" s="36">
        <v>14</v>
      </c>
      <c r="E56" s="36">
        <v>21</v>
      </c>
      <c r="F56" s="37">
        <v>8.25</v>
      </c>
      <c r="G56" s="37">
        <v>6.33</v>
      </c>
      <c r="H56" s="37">
        <v>6</v>
      </c>
      <c r="I56" s="22" t="s">
        <v>1312</v>
      </c>
      <c r="J56" s="22" t="s">
        <v>1313</v>
      </c>
    </row>
    <row r="57" spans="1:10" ht="31.5" customHeight="1" x14ac:dyDescent="0.15">
      <c r="A57" s="34" t="s">
        <v>1354</v>
      </c>
      <c r="B57" s="35">
        <f>$B$3+287</f>
        <v>46461</v>
      </c>
      <c r="C57" s="35">
        <f t="shared" si="1"/>
        <v>46467</v>
      </c>
      <c r="D57" s="36">
        <v>14</v>
      </c>
      <c r="E57" s="36">
        <v>21</v>
      </c>
      <c r="F57" s="37">
        <v>8.25</v>
      </c>
      <c r="G57" s="37">
        <v>6.33</v>
      </c>
      <c r="H57" s="37">
        <v>6</v>
      </c>
      <c r="I57" s="22" t="s">
        <v>1312</v>
      </c>
      <c r="J57" s="22" t="s">
        <v>1313</v>
      </c>
    </row>
    <row r="58" spans="1:10" ht="31.5" customHeight="1" x14ac:dyDescent="0.15">
      <c r="A58" s="34" t="s">
        <v>1355</v>
      </c>
      <c r="B58" s="35">
        <f>$B$3+294</f>
        <v>46468</v>
      </c>
      <c r="C58" s="35">
        <f t="shared" si="1"/>
        <v>46474</v>
      </c>
      <c r="D58" s="36">
        <v>14</v>
      </c>
      <c r="E58" s="36">
        <v>21</v>
      </c>
      <c r="F58" s="37">
        <v>8.25</v>
      </c>
      <c r="G58" s="37">
        <v>6.33</v>
      </c>
      <c r="H58" s="37">
        <v>6</v>
      </c>
      <c r="I58" s="22" t="s">
        <v>1312</v>
      </c>
      <c r="J58" s="22" t="s">
        <v>1313</v>
      </c>
    </row>
    <row r="59" spans="1:10" ht="31.5" customHeight="1" x14ac:dyDescent="0.15">
      <c r="A59" s="34" t="s">
        <v>1356</v>
      </c>
      <c r="B59" s="35">
        <f>$B$3+301</f>
        <v>46475</v>
      </c>
      <c r="C59" s="35">
        <f t="shared" si="1"/>
        <v>46481</v>
      </c>
      <c r="D59" s="36">
        <v>14</v>
      </c>
      <c r="E59" s="36">
        <v>21</v>
      </c>
      <c r="F59" s="37">
        <v>8.25</v>
      </c>
      <c r="G59" s="37">
        <v>6.33</v>
      </c>
      <c r="H59" s="37">
        <v>6</v>
      </c>
      <c r="I59" s="22" t="s">
        <v>1312</v>
      </c>
      <c r="J59" s="22" t="s">
        <v>1313</v>
      </c>
    </row>
    <row r="60" spans="1:10" ht="31.5" customHeight="1" x14ac:dyDescent="0.15">
      <c r="A60" s="34" t="s">
        <v>1357</v>
      </c>
      <c r="B60" s="35">
        <f>$B$3+308</f>
        <v>46482</v>
      </c>
      <c r="C60" s="35">
        <f t="shared" si="1"/>
        <v>46488</v>
      </c>
      <c r="D60" s="36">
        <v>14</v>
      </c>
      <c r="E60" s="36">
        <v>21</v>
      </c>
      <c r="F60" s="37">
        <v>8.25</v>
      </c>
      <c r="G60" s="37">
        <v>6.33</v>
      </c>
      <c r="H60" s="37">
        <v>6</v>
      </c>
      <c r="I60" s="22" t="s">
        <v>1312</v>
      </c>
      <c r="J60" s="22" t="s">
        <v>1313</v>
      </c>
    </row>
    <row r="61" spans="1:10" ht="31.5" customHeight="1" x14ac:dyDescent="0.15">
      <c r="A61" s="34" t="s">
        <v>1358</v>
      </c>
      <c r="B61" s="35">
        <f>$B$3+315</f>
        <v>46489</v>
      </c>
      <c r="C61" s="35">
        <f t="shared" si="1"/>
        <v>46495</v>
      </c>
      <c r="D61" s="36">
        <v>14</v>
      </c>
      <c r="E61" s="36">
        <v>21</v>
      </c>
      <c r="F61" s="37">
        <v>8.25</v>
      </c>
      <c r="G61" s="37">
        <v>6.33</v>
      </c>
      <c r="H61" s="37">
        <v>6</v>
      </c>
      <c r="I61" s="22" t="s">
        <v>1312</v>
      </c>
      <c r="J61" s="22" t="s">
        <v>1313</v>
      </c>
    </row>
    <row r="62" spans="1:10" ht="31.5" customHeight="1" x14ac:dyDescent="0.15">
      <c r="A62" s="34" t="s">
        <v>1359</v>
      </c>
      <c r="B62" s="35">
        <f>$B$3+322</f>
        <v>46496</v>
      </c>
      <c r="C62" s="35">
        <f t="shared" si="1"/>
        <v>46502</v>
      </c>
      <c r="D62" s="36">
        <v>14</v>
      </c>
      <c r="E62" s="36">
        <v>21</v>
      </c>
      <c r="F62" s="37">
        <v>8.25</v>
      </c>
      <c r="G62" s="37">
        <v>6.33</v>
      </c>
      <c r="H62" s="37">
        <v>6</v>
      </c>
      <c r="I62" s="22" t="s">
        <v>1312</v>
      </c>
      <c r="J62" s="22" t="s">
        <v>1313</v>
      </c>
    </row>
    <row r="63" spans="1:10" ht="31.5" customHeight="1" x14ac:dyDescent="0.15">
      <c r="A63" s="34" t="s">
        <v>1360</v>
      </c>
      <c r="B63" s="35">
        <f>$B$3+329</f>
        <v>46503</v>
      </c>
      <c r="C63" s="35">
        <f t="shared" si="1"/>
        <v>46509</v>
      </c>
      <c r="D63" s="36">
        <v>14</v>
      </c>
      <c r="E63" s="36">
        <v>21</v>
      </c>
      <c r="F63" s="37">
        <v>8.25</v>
      </c>
      <c r="G63" s="37">
        <v>6.33</v>
      </c>
      <c r="H63" s="37">
        <v>6</v>
      </c>
      <c r="I63" s="22" t="s">
        <v>1312</v>
      </c>
      <c r="J63" s="22" t="s">
        <v>1313</v>
      </c>
    </row>
    <row r="64" spans="1:10" ht="31.5" customHeight="1" x14ac:dyDescent="0.15">
      <c r="A64" s="34" t="s">
        <v>1361</v>
      </c>
      <c r="B64" s="35">
        <f>$B$3+336</f>
        <v>46510</v>
      </c>
      <c r="C64" s="35">
        <f t="shared" si="1"/>
        <v>46516</v>
      </c>
      <c r="D64" s="36">
        <v>14</v>
      </c>
      <c r="E64" s="36">
        <v>21</v>
      </c>
      <c r="F64" s="37">
        <v>8.25</v>
      </c>
      <c r="G64" s="37">
        <v>6.33</v>
      </c>
      <c r="H64" s="37">
        <v>6</v>
      </c>
      <c r="I64" s="22" t="s">
        <v>1312</v>
      </c>
      <c r="J64" s="22" t="s">
        <v>1313</v>
      </c>
    </row>
    <row r="65" spans="1:10" ht="31.5" customHeight="1" x14ac:dyDescent="0.15">
      <c r="A65" s="34" t="s">
        <v>1362</v>
      </c>
      <c r="B65" s="35">
        <f>$B$3+343</f>
        <v>46517</v>
      </c>
      <c r="C65" s="35">
        <f t="shared" si="1"/>
        <v>46523</v>
      </c>
      <c r="D65" s="36">
        <v>14</v>
      </c>
      <c r="E65" s="36">
        <v>21</v>
      </c>
      <c r="F65" s="37">
        <v>8.25</v>
      </c>
      <c r="G65" s="37">
        <v>6.33</v>
      </c>
      <c r="H65" s="37">
        <v>6</v>
      </c>
      <c r="I65" s="22" t="s">
        <v>1312</v>
      </c>
      <c r="J65" s="22" t="s">
        <v>1313</v>
      </c>
    </row>
    <row r="66" spans="1:10" ht="31.5" customHeight="1" x14ac:dyDescent="0.15">
      <c r="A66" s="34" t="s">
        <v>1363</v>
      </c>
      <c r="B66" s="35">
        <f>$B$3+350</f>
        <v>46524</v>
      </c>
      <c r="C66" s="35">
        <f t="shared" si="1"/>
        <v>46530</v>
      </c>
      <c r="D66" s="36">
        <v>14</v>
      </c>
      <c r="E66" s="36">
        <v>21</v>
      </c>
      <c r="F66" s="37">
        <v>8.25</v>
      </c>
      <c r="G66" s="37">
        <v>6.33</v>
      </c>
      <c r="H66" s="37">
        <v>6</v>
      </c>
      <c r="I66" s="22" t="s">
        <v>1312</v>
      </c>
      <c r="J66" s="22" t="s">
        <v>1313</v>
      </c>
    </row>
    <row r="67" spans="1:10" ht="31.5" customHeight="1" x14ac:dyDescent="0.15">
      <c r="A67" s="34" t="s">
        <v>1364</v>
      </c>
      <c r="B67" s="35">
        <f>$B$3+357</f>
        <v>46531</v>
      </c>
      <c r="C67" s="35">
        <f t="shared" si="1"/>
        <v>46537</v>
      </c>
      <c r="D67" s="36">
        <v>14</v>
      </c>
      <c r="E67" s="36">
        <v>21</v>
      </c>
      <c r="F67" s="37">
        <v>8.25</v>
      </c>
      <c r="G67" s="37">
        <v>6.33</v>
      </c>
      <c r="H67" s="37">
        <v>6</v>
      </c>
      <c r="I67" s="22" t="s">
        <v>1312</v>
      </c>
      <c r="J67" s="22" t="s">
        <v>1313</v>
      </c>
    </row>
    <row r="68" spans="1:10" ht="31.5" customHeight="1" x14ac:dyDescent="0.15">
      <c r="A68" s="34" t="s">
        <v>1365</v>
      </c>
      <c r="B68" s="35">
        <f>$B$3+364</f>
        <v>46538</v>
      </c>
      <c r="C68" s="35">
        <f t="shared" si="1"/>
        <v>46544</v>
      </c>
      <c r="D68" s="36">
        <v>14</v>
      </c>
      <c r="E68" s="36">
        <v>21</v>
      </c>
      <c r="F68" s="37">
        <v>8.25</v>
      </c>
      <c r="G68" s="37">
        <v>6.33</v>
      </c>
      <c r="H68" s="37">
        <v>6</v>
      </c>
      <c r="I68" s="22" t="s">
        <v>1312</v>
      </c>
      <c r="J68" s="22" t="s">
        <v>1313</v>
      </c>
    </row>
    <row r="69" spans="1:10" ht="31.5" customHeight="1" x14ac:dyDescent="0.15">
      <c r="A69" s="34" t="s">
        <v>1366</v>
      </c>
      <c r="B69" s="35">
        <f>$B$3+371</f>
        <v>46545</v>
      </c>
      <c r="C69" s="35">
        <f t="shared" si="1"/>
        <v>46551</v>
      </c>
      <c r="D69" s="36">
        <v>14</v>
      </c>
      <c r="E69" s="36">
        <v>21</v>
      </c>
      <c r="F69" s="37">
        <v>8.25</v>
      </c>
      <c r="G69" s="37">
        <v>6.33</v>
      </c>
      <c r="H69" s="37">
        <v>6</v>
      </c>
      <c r="I69" s="22" t="s">
        <v>1312</v>
      </c>
      <c r="J69" s="22" t="s">
        <v>1313</v>
      </c>
    </row>
    <row r="70" spans="1:10" ht="31.5" customHeight="1" x14ac:dyDescent="0.15">
      <c r="A70" s="34" t="s">
        <v>1367</v>
      </c>
      <c r="B70" s="35">
        <f>$B$3+378</f>
        <v>46552</v>
      </c>
      <c r="C70" s="35">
        <f t="shared" si="1"/>
        <v>46558</v>
      </c>
      <c r="D70" s="36">
        <v>14</v>
      </c>
      <c r="E70" s="36">
        <v>21</v>
      </c>
      <c r="F70" s="37">
        <v>8.25</v>
      </c>
      <c r="G70" s="37">
        <v>6.33</v>
      </c>
      <c r="H70" s="37">
        <v>6</v>
      </c>
      <c r="I70" s="22" t="s">
        <v>1312</v>
      </c>
      <c r="J70" s="22" t="s">
        <v>1313</v>
      </c>
    </row>
    <row r="71" spans="1:10" ht="31.5" customHeight="1" x14ac:dyDescent="0.15">
      <c r="A71" s="34" t="s">
        <v>1368</v>
      </c>
      <c r="B71" s="35">
        <f>$B$3+385</f>
        <v>46559</v>
      </c>
      <c r="C71" s="35">
        <f t="shared" si="1"/>
        <v>46565</v>
      </c>
      <c r="D71" s="36">
        <v>14</v>
      </c>
      <c r="E71" s="36">
        <v>21</v>
      </c>
      <c r="F71" s="37">
        <v>8.25</v>
      </c>
      <c r="G71" s="37">
        <v>6.33</v>
      </c>
      <c r="H71" s="37">
        <v>6</v>
      </c>
      <c r="I71" s="22" t="s">
        <v>1312</v>
      </c>
      <c r="J71" s="22" t="s">
        <v>1313</v>
      </c>
    </row>
    <row r="72" spans="1:10" ht="31.5" customHeight="1" x14ac:dyDescent="0.15">
      <c r="A72" s="34" t="s">
        <v>1369</v>
      </c>
      <c r="B72" s="35">
        <f>$B$3+392</f>
        <v>46566</v>
      </c>
      <c r="C72" s="35">
        <f t="shared" si="1"/>
        <v>46572</v>
      </c>
      <c r="D72" s="36">
        <v>14</v>
      </c>
      <c r="E72" s="36">
        <v>21</v>
      </c>
      <c r="F72" s="37">
        <v>8.25</v>
      </c>
      <c r="G72" s="37">
        <v>6.33</v>
      </c>
      <c r="H72" s="37">
        <v>6</v>
      </c>
      <c r="I72" s="22" t="s">
        <v>1312</v>
      </c>
      <c r="J72" s="22" t="s">
        <v>1313</v>
      </c>
    </row>
    <row r="73" spans="1:10" ht="31.5" customHeight="1" x14ac:dyDescent="0.15">
      <c r="A73" s="34" t="s">
        <v>1370</v>
      </c>
      <c r="B73" s="35">
        <f>$B$3+399</f>
        <v>46573</v>
      </c>
      <c r="C73" s="35">
        <f t="shared" si="1"/>
        <v>46579</v>
      </c>
      <c r="D73" s="36">
        <v>14</v>
      </c>
      <c r="E73" s="36">
        <v>21</v>
      </c>
      <c r="F73" s="37">
        <v>8.25</v>
      </c>
      <c r="G73" s="37">
        <v>6.33</v>
      </c>
      <c r="H73" s="37">
        <v>6</v>
      </c>
      <c r="I73" s="22" t="s">
        <v>1312</v>
      </c>
      <c r="J73" s="22" t="s">
        <v>1313</v>
      </c>
    </row>
    <row r="74" spans="1:10" ht="31.5" customHeight="1" x14ac:dyDescent="0.15">
      <c r="A74" s="34" t="s">
        <v>1371</v>
      </c>
      <c r="B74" s="35">
        <f>$B$3+406</f>
        <v>46580</v>
      </c>
      <c r="C74" s="35">
        <f t="shared" si="1"/>
        <v>46586</v>
      </c>
      <c r="D74" s="36">
        <v>14</v>
      </c>
      <c r="E74" s="36">
        <v>21</v>
      </c>
      <c r="F74" s="37">
        <v>8.25</v>
      </c>
      <c r="G74" s="37">
        <v>6.33</v>
      </c>
      <c r="H74" s="37">
        <v>6</v>
      </c>
      <c r="I74" s="22" t="s">
        <v>1312</v>
      </c>
      <c r="J74" s="22" t="s">
        <v>1313</v>
      </c>
    </row>
    <row r="75" spans="1:10" ht="31.5" customHeight="1" x14ac:dyDescent="0.15">
      <c r="A75" s="34" t="s">
        <v>1372</v>
      </c>
      <c r="B75" s="35">
        <f>$B$3+413</f>
        <v>46587</v>
      </c>
      <c r="C75" s="35">
        <f t="shared" si="1"/>
        <v>46593</v>
      </c>
      <c r="D75" s="36">
        <v>14</v>
      </c>
      <c r="E75" s="36">
        <v>21</v>
      </c>
      <c r="F75" s="37">
        <v>8.25</v>
      </c>
      <c r="G75" s="37">
        <v>6.33</v>
      </c>
      <c r="H75" s="37">
        <v>6</v>
      </c>
      <c r="I75" s="22" t="s">
        <v>1312</v>
      </c>
      <c r="J75" s="22" t="s">
        <v>1313</v>
      </c>
    </row>
    <row r="76" spans="1:10" ht="31.5" customHeight="1" x14ac:dyDescent="0.15">
      <c r="A76" s="34" t="s">
        <v>1373</v>
      </c>
      <c r="B76" s="35">
        <f>$B$3+420</f>
        <v>46594</v>
      </c>
      <c r="C76" s="35">
        <f t="shared" si="1"/>
        <v>46600</v>
      </c>
      <c r="D76" s="36">
        <v>14</v>
      </c>
      <c r="E76" s="36">
        <v>21</v>
      </c>
      <c r="F76" s="37">
        <v>8.25</v>
      </c>
      <c r="G76" s="37">
        <v>6.33</v>
      </c>
      <c r="H76" s="37">
        <v>6</v>
      </c>
      <c r="I76" s="22" t="s">
        <v>1312</v>
      </c>
      <c r="J76" s="22" t="s">
        <v>1313</v>
      </c>
    </row>
    <row r="77" spans="1:10" ht="31.5" customHeight="1" x14ac:dyDescent="0.15">
      <c r="A77" s="34" t="s">
        <v>1374</v>
      </c>
      <c r="B77" s="35">
        <f>$B$3+427</f>
        <v>46601</v>
      </c>
      <c r="C77" s="35">
        <f t="shared" si="1"/>
        <v>46607</v>
      </c>
      <c r="D77" s="36">
        <v>14</v>
      </c>
      <c r="E77" s="36">
        <v>21</v>
      </c>
      <c r="F77" s="37">
        <v>8.25</v>
      </c>
      <c r="G77" s="37">
        <v>6.33</v>
      </c>
      <c r="H77" s="37">
        <v>6</v>
      </c>
      <c r="I77" s="22" t="s">
        <v>1312</v>
      </c>
      <c r="J77" s="22" t="s">
        <v>1313</v>
      </c>
    </row>
    <row r="78" spans="1:10" ht="31.5" customHeight="1" x14ac:dyDescent="0.15">
      <c r="A78" s="34" t="s">
        <v>1375</v>
      </c>
      <c r="B78" s="35">
        <f>$B$3+434</f>
        <v>46608</v>
      </c>
      <c r="C78" s="35">
        <f t="shared" si="1"/>
        <v>46614</v>
      </c>
      <c r="D78" s="36">
        <v>14</v>
      </c>
      <c r="E78" s="36">
        <v>21</v>
      </c>
      <c r="F78" s="37">
        <v>8.25</v>
      </c>
      <c r="G78" s="37">
        <v>6.33</v>
      </c>
      <c r="H78" s="37">
        <v>6</v>
      </c>
      <c r="I78" s="22" t="s">
        <v>1312</v>
      </c>
      <c r="J78" s="22" t="s">
        <v>1313</v>
      </c>
    </row>
    <row r="79" spans="1:10" ht="31.5" customHeight="1" x14ac:dyDescent="0.15">
      <c r="A79" s="34" t="s">
        <v>1376</v>
      </c>
      <c r="B79" s="35">
        <f>$B$3+441</f>
        <v>46615</v>
      </c>
      <c r="C79" s="35">
        <f t="shared" si="1"/>
        <v>46621</v>
      </c>
      <c r="D79" s="36">
        <v>14</v>
      </c>
      <c r="E79" s="36">
        <v>21</v>
      </c>
      <c r="F79" s="37">
        <v>8.25</v>
      </c>
      <c r="G79" s="37">
        <v>6.33</v>
      </c>
      <c r="H79" s="37">
        <v>6</v>
      </c>
      <c r="I79" s="22" t="s">
        <v>1312</v>
      </c>
      <c r="J79" s="22" t="s">
        <v>1313</v>
      </c>
    </row>
    <row r="80" spans="1:10" ht="31.5" customHeight="1" x14ac:dyDescent="0.15">
      <c r="A80" s="34" t="s">
        <v>1377</v>
      </c>
      <c r="B80" s="35">
        <f>$B$3+448</f>
        <v>46622</v>
      </c>
      <c r="C80" s="35">
        <f t="shared" ref="C80:C111" si="2">B80+6</f>
        <v>46628</v>
      </c>
      <c r="D80" s="36">
        <v>14</v>
      </c>
      <c r="E80" s="36">
        <v>21</v>
      </c>
      <c r="F80" s="37">
        <v>8.25</v>
      </c>
      <c r="G80" s="37">
        <v>6.33</v>
      </c>
      <c r="H80" s="37">
        <v>6</v>
      </c>
      <c r="I80" s="22" t="s">
        <v>1312</v>
      </c>
      <c r="J80" s="22" t="s">
        <v>1313</v>
      </c>
    </row>
    <row r="81" spans="1:10" ht="31.5" customHeight="1" x14ac:dyDescent="0.15">
      <c r="A81" s="34" t="s">
        <v>1378</v>
      </c>
      <c r="B81" s="35">
        <f>$B$3+455</f>
        <v>46629</v>
      </c>
      <c r="C81" s="35">
        <f t="shared" si="2"/>
        <v>46635</v>
      </c>
      <c r="D81" s="36">
        <v>14</v>
      </c>
      <c r="E81" s="36">
        <v>21</v>
      </c>
      <c r="F81" s="37">
        <v>8.25</v>
      </c>
      <c r="G81" s="37">
        <v>6.33</v>
      </c>
      <c r="H81" s="37">
        <v>6</v>
      </c>
      <c r="I81" s="22" t="s">
        <v>1312</v>
      </c>
      <c r="J81" s="22" t="s">
        <v>1313</v>
      </c>
    </row>
    <row r="82" spans="1:10" ht="31.5" customHeight="1" x14ac:dyDescent="0.15">
      <c r="A82" s="34" t="s">
        <v>1379</v>
      </c>
      <c r="B82" s="35">
        <f>$B$3+462</f>
        <v>46636</v>
      </c>
      <c r="C82" s="35">
        <f t="shared" si="2"/>
        <v>46642</v>
      </c>
      <c r="D82" s="36">
        <v>14</v>
      </c>
      <c r="E82" s="36">
        <v>21</v>
      </c>
      <c r="F82" s="37">
        <v>8.25</v>
      </c>
      <c r="G82" s="37">
        <v>6.33</v>
      </c>
      <c r="H82" s="37">
        <v>6</v>
      </c>
      <c r="I82" s="22" t="s">
        <v>1312</v>
      </c>
      <c r="J82" s="22" t="s">
        <v>1313</v>
      </c>
    </row>
    <row r="83" spans="1:10" ht="31.5" customHeight="1" x14ac:dyDescent="0.15">
      <c r="A83" s="34" t="s">
        <v>1380</v>
      </c>
      <c r="B83" s="35">
        <f>$B$3+469</f>
        <v>46643</v>
      </c>
      <c r="C83" s="35">
        <f t="shared" si="2"/>
        <v>46649</v>
      </c>
      <c r="D83" s="36">
        <v>14</v>
      </c>
      <c r="E83" s="36">
        <v>21</v>
      </c>
      <c r="F83" s="37">
        <v>8.25</v>
      </c>
      <c r="G83" s="37">
        <v>6.33</v>
      </c>
      <c r="H83" s="37">
        <v>6</v>
      </c>
      <c r="I83" s="22" t="s">
        <v>1312</v>
      </c>
      <c r="J83" s="22" t="s">
        <v>1313</v>
      </c>
    </row>
    <row r="84" spans="1:10" ht="31.5" customHeight="1" x14ac:dyDescent="0.15">
      <c r="A84" s="34" t="s">
        <v>1381</v>
      </c>
      <c r="B84" s="35">
        <f>$B$3+476</f>
        <v>46650</v>
      </c>
      <c r="C84" s="35">
        <f t="shared" si="2"/>
        <v>46656</v>
      </c>
      <c r="D84" s="36">
        <v>14</v>
      </c>
      <c r="E84" s="36">
        <v>21</v>
      </c>
      <c r="F84" s="37">
        <v>8.25</v>
      </c>
      <c r="G84" s="37">
        <v>6.33</v>
      </c>
      <c r="H84" s="37">
        <v>6</v>
      </c>
      <c r="I84" s="22" t="s">
        <v>1312</v>
      </c>
      <c r="J84" s="22" t="s">
        <v>1313</v>
      </c>
    </row>
    <row r="85" spans="1:10" ht="31.5" customHeight="1" x14ac:dyDescent="0.15">
      <c r="A85" s="34" t="s">
        <v>1382</v>
      </c>
      <c r="B85" s="35">
        <f>$B$3+483</f>
        <v>46657</v>
      </c>
      <c r="C85" s="35">
        <f t="shared" si="2"/>
        <v>46663</v>
      </c>
      <c r="D85" s="36">
        <v>14</v>
      </c>
      <c r="E85" s="36">
        <v>21</v>
      </c>
      <c r="F85" s="37">
        <v>8.25</v>
      </c>
      <c r="G85" s="37">
        <v>6.33</v>
      </c>
      <c r="H85" s="37">
        <v>6</v>
      </c>
      <c r="I85" s="22" t="s">
        <v>1312</v>
      </c>
      <c r="J85" s="22" t="s">
        <v>1313</v>
      </c>
    </row>
    <row r="86" spans="1:10" ht="31.5" customHeight="1" x14ac:dyDescent="0.15">
      <c r="A86" s="34" t="s">
        <v>1383</v>
      </c>
      <c r="B86" s="35">
        <f>$B$3+490</f>
        <v>46664</v>
      </c>
      <c r="C86" s="35">
        <f t="shared" si="2"/>
        <v>46670</v>
      </c>
      <c r="D86" s="36">
        <v>14</v>
      </c>
      <c r="E86" s="36">
        <v>21</v>
      </c>
      <c r="F86" s="37">
        <v>8.25</v>
      </c>
      <c r="G86" s="37">
        <v>6.33</v>
      </c>
      <c r="H86" s="37">
        <v>6</v>
      </c>
      <c r="I86" s="22" t="s">
        <v>1312</v>
      </c>
      <c r="J86" s="22" t="s">
        <v>1313</v>
      </c>
    </row>
    <row r="87" spans="1:10" ht="31.5" customHeight="1" x14ac:dyDescent="0.15">
      <c r="A87" s="34" t="s">
        <v>1384</v>
      </c>
      <c r="B87" s="35">
        <f>$B$3+497</f>
        <v>46671</v>
      </c>
      <c r="C87" s="35">
        <f t="shared" si="2"/>
        <v>46677</v>
      </c>
      <c r="D87" s="36">
        <v>14</v>
      </c>
      <c r="E87" s="36">
        <v>21</v>
      </c>
      <c r="F87" s="37">
        <v>8.25</v>
      </c>
      <c r="G87" s="37">
        <v>6.33</v>
      </c>
      <c r="H87" s="37">
        <v>6</v>
      </c>
      <c r="I87" s="22" t="s">
        <v>1312</v>
      </c>
      <c r="J87" s="22" t="s">
        <v>1313</v>
      </c>
    </row>
    <row r="88" spans="1:10" ht="31.5" customHeight="1" x14ac:dyDescent="0.15">
      <c r="A88" s="34" t="s">
        <v>1385</v>
      </c>
      <c r="B88" s="35">
        <f>$B$3+504</f>
        <v>46678</v>
      </c>
      <c r="C88" s="35">
        <f t="shared" si="2"/>
        <v>46684</v>
      </c>
      <c r="D88" s="36">
        <v>14</v>
      </c>
      <c r="E88" s="36">
        <v>21</v>
      </c>
      <c r="F88" s="37">
        <v>8.25</v>
      </c>
      <c r="G88" s="37">
        <v>6.33</v>
      </c>
      <c r="H88" s="37">
        <v>6</v>
      </c>
      <c r="I88" s="22" t="s">
        <v>1312</v>
      </c>
      <c r="J88" s="22" t="s">
        <v>1313</v>
      </c>
    </row>
    <row r="89" spans="1:10" ht="31.5" customHeight="1" x14ac:dyDescent="0.15">
      <c r="A89" s="34" t="s">
        <v>1386</v>
      </c>
      <c r="B89" s="35">
        <f>$B$3+511</f>
        <v>46685</v>
      </c>
      <c r="C89" s="35">
        <f t="shared" si="2"/>
        <v>46691</v>
      </c>
      <c r="D89" s="36">
        <v>14</v>
      </c>
      <c r="E89" s="36">
        <v>21</v>
      </c>
      <c r="F89" s="37">
        <v>8.25</v>
      </c>
      <c r="G89" s="37">
        <v>6.33</v>
      </c>
      <c r="H89" s="37">
        <v>6</v>
      </c>
      <c r="I89" s="22" t="s">
        <v>1312</v>
      </c>
      <c r="J89" s="22" t="s">
        <v>1313</v>
      </c>
    </row>
    <row r="90" spans="1:10" ht="31.5" customHeight="1" x14ac:dyDescent="0.15">
      <c r="A90" s="34" t="s">
        <v>1387</v>
      </c>
      <c r="B90" s="35">
        <f>$B$3+518</f>
        <v>46692</v>
      </c>
      <c r="C90" s="35">
        <f t="shared" si="2"/>
        <v>46698</v>
      </c>
      <c r="D90" s="36">
        <v>14</v>
      </c>
      <c r="E90" s="36">
        <v>21</v>
      </c>
      <c r="F90" s="37">
        <v>8.25</v>
      </c>
      <c r="G90" s="37">
        <v>6.33</v>
      </c>
      <c r="H90" s="37">
        <v>6</v>
      </c>
      <c r="I90" s="22" t="s">
        <v>1312</v>
      </c>
      <c r="J90" s="22" t="s">
        <v>1313</v>
      </c>
    </row>
    <row r="91" spans="1:10" ht="31.5" customHeight="1" x14ac:dyDescent="0.15">
      <c r="A91" s="34" t="s">
        <v>1388</v>
      </c>
      <c r="B91" s="35">
        <f>$B$3+525</f>
        <v>46699</v>
      </c>
      <c r="C91" s="35">
        <f t="shared" si="2"/>
        <v>46705</v>
      </c>
      <c r="D91" s="36">
        <v>14</v>
      </c>
      <c r="E91" s="36">
        <v>21</v>
      </c>
      <c r="F91" s="37">
        <v>8.25</v>
      </c>
      <c r="G91" s="37">
        <v>6.33</v>
      </c>
      <c r="H91" s="37">
        <v>6</v>
      </c>
      <c r="I91" s="22" t="s">
        <v>1312</v>
      </c>
      <c r="J91" s="22" t="s">
        <v>1313</v>
      </c>
    </row>
    <row r="92" spans="1:10" ht="31.5" customHeight="1" x14ac:dyDescent="0.15">
      <c r="A92" s="34" t="s">
        <v>1389</v>
      </c>
      <c r="B92" s="35">
        <f>$B$3+532</f>
        <v>46706</v>
      </c>
      <c r="C92" s="35">
        <f t="shared" si="2"/>
        <v>46712</v>
      </c>
      <c r="D92" s="36">
        <v>14</v>
      </c>
      <c r="E92" s="36">
        <v>21</v>
      </c>
      <c r="F92" s="37">
        <v>8.25</v>
      </c>
      <c r="G92" s="37">
        <v>6.33</v>
      </c>
      <c r="H92" s="37">
        <v>6</v>
      </c>
      <c r="I92" s="22" t="s">
        <v>1312</v>
      </c>
      <c r="J92" s="22" t="s">
        <v>1313</v>
      </c>
    </row>
    <row r="93" spans="1:10" ht="31.5" customHeight="1" x14ac:dyDescent="0.15">
      <c r="A93" s="34" t="s">
        <v>1390</v>
      </c>
      <c r="B93" s="35">
        <f>$B$3+539</f>
        <v>46713</v>
      </c>
      <c r="C93" s="35">
        <f t="shared" si="2"/>
        <v>46719</v>
      </c>
      <c r="D93" s="36">
        <v>14</v>
      </c>
      <c r="E93" s="36">
        <v>21</v>
      </c>
      <c r="F93" s="37">
        <v>8.25</v>
      </c>
      <c r="G93" s="37">
        <v>6.33</v>
      </c>
      <c r="H93" s="37">
        <v>6</v>
      </c>
      <c r="I93" s="22" t="s">
        <v>1312</v>
      </c>
      <c r="J93" s="22" t="s">
        <v>1313</v>
      </c>
    </row>
    <row r="94" spans="1:10" ht="31.5" customHeight="1" x14ac:dyDescent="0.15">
      <c r="A94" s="34" t="s">
        <v>1391</v>
      </c>
      <c r="B94" s="35">
        <f>$B$3+546</f>
        <v>46720</v>
      </c>
      <c r="C94" s="35">
        <f t="shared" si="2"/>
        <v>46726</v>
      </c>
      <c r="D94" s="36">
        <v>14</v>
      </c>
      <c r="E94" s="36">
        <v>21</v>
      </c>
      <c r="F94" s="37">
        <v>8.25</v>
      </c>
      <c r="G94" s="37">
        <v>6.33</v>
      </c>
      <c r="H94" s="37">
        <v>6</v>
      </c>
      <c r="I94" s="22" t="s">
        <v>1312</v>
      </c>
      <c r="J94" s="22" t="s">
        <v>1313</v>
      </c>
    </row>
    <row r="95" spans="1:10" ht="31.5" customHeight="1" x14ac:dyDescent="0.15">
      <c r="A95" s="34" t="s">
        <v>1392</v>
      </c>
      <c r="B95" s="35">
        <f>$B$3+553</f>
        <v>46727</v>
      </c>
      <c r="C95" s="35">
        <f t="shared" si="2"/>
        <v>46733</v>
      </c>
      <c r="D95" s="36">
        <v>14</v>
      </c>
      <c r="E95" s="36">
        <v>21</v>
      </c>
      <c r="F95" s="37">
        <v>8.25</v>
      </c>
      <c r="G95" s="37">
        <v>6.33</v>
      </c>
      <c r="H95" s="37">
        <v>6</v>
      </c>
      <c r="I95" s="22" t="s">
        <v>1312</v>
      </c>
      <c r="J95" s="22" t="s">
        <v>1313</v>
      </c>
    </row>
    <row r="96" spans="1:10" ht="31.5" customHeight="1" x14ac:dyDescent="0.15">
      <c r="A96" s="34" t="s">
        <v>1393</v>
      </c>
      <c r="B96" s="35">
        <f>$B$3+560</f>
        <v>46734</v>
      </c>
      <c r="C96" s="35">
        <f t="shared" si="2"/>
        <v>46740</v>
      </c>
      <c r="D96" s="36">
        <v>14</v>
      </c>
      <c r="E96" s="36">
        <v>21</v>
      </c>
      <c r="F96" s="37">
        <v>8.25</v>
      </c>
      <c r="G96" s="37">
        <v>6.33</v>
      </c>
      <c r="H96" s="37">
        <v>6</v>
      </c>
      <c r="I96" s="22" t="s">
        <v>1312</v>
      </c>
      <c r="J96" s="22" t="s">
        <v>1313</v>
      </c>
    </row>
    <row r="97" spans="1:10" ht="31.5" customHeight="1" x14ac:dyDescent="0.15">
      <c r="A97" s="34" t="s">
        <v>1394</v>
      </c>
      <c r="B97" s="35">
        <f>$B$3+567</f>
        <v>46741</v>
      </c>
      <c r="C97" s="35">
        <f t="shared" si="2"/>
        <v>46747</v>
      </c>
      <c r="D97" s="36">
        <v>14</v>
      </c>
      <c r="E97" s="36">
        <v>21</v>
      </c>
      <c r="F97" s="37">
        <v>8.25</v>
      </c>
      <c r="G97" s="37">
        <v>6.33</v>
      </c>
      <c r="H97" s="37">
        <v>6</v>
      </c>
      <c r="I97" s="22" t="s">
        <v>1312</v>
      </c>
      <c r="J97" s="22" t="s">
        <v>1313</v>
      </c>
    </row>
    <row r="98" spans="1:10" ht="31.5" customHeight="1" x14ac:dyDescent="0.15">
      <c r="A98" s="34" t="s">
        <v>1395</v>
      </c>
      <c r="B98" s="35">
        <f>$B$3+574</f>
        <v>46748</v>
      </c>
      <c r="C98" s="35">
        <f t="shared" si="2"/>
        <v>46754</v>
      </c>
      <c r="D98" s="36">
        <v>14</v>
      </c>
      <c r="E98" s="36">
        <v>21</v>
      </c>
      <c r="F98" s="37">
        <v>8.25</v>
      </c>
      <c r="G98" s="37">
        <v>6.33</v>
      </c>
      <c r="H98" s="37">
        <v>6</v>
      </c>
      <c r="I98" s="22" t="s">
        <v>1312</v>
      </c>
      <c r="J98" s="22" t="s">
        <v>1313</v>
      </c>
    </row>
    <row r="99" spans="1:10" ht="31.5" customHeight="1" x14ac:dyDescent="0.15">
      <c r="A99" s="34" t="s">
        <v>1396</v>
      </c>
      <c r="B99" s="35">
        <f>$B$3+581</f>
        <v>46755</v>
      </c>
      <c r="C99" s="35">
        <f t="shared" si="2"/>
        <v>46761</v>
      </c>
      <c r="D99" s="36">
        <v>14</v>
      </c>
      <c r="E99" s="36">
        <v>21</v>
      </c>
      <c r="F99" s="37">
        <v>8.25</v>
      </c>
      <c r="G99" s="37">
        <v>6.33</v>
      </c>
      <c r="H99" s="37">
        <v>6</v>
      </c>
      <c r="I99" s="22" t="s">
        <v>1312</v>
      </c>
      <c r="J99" s="22" t="s">
        <v>1313</v>
      </c>
    </row>
    <row r="100" spans="1:10" ht="31.5" customHeight="1" x14ac:dyDescent="0.15">
      <c r="A100" s="34" t="s">
        <v>1397</v>
      </c>
      <c r="B100" s="35">
        <f>$B$3+588</f>
        <v>46762</v>
      </c>
      <c r="C100" s="35">
        <f t="shared" si="2"/>
        <v>46768</v>
      </c>
      <c r="D100" s="36">
        <v>14</v>
      </c>
      <c r="E100" s="36">
        <v>21</v>
      </c>
      <c r="F100" s="37">
        <v>8.25</v>
      </c>
      <c r="G100" s="37">
        <v>6.33</v>
      </c>
      <c r="H100" s="37">
        <v>6</v>
      </c>
      <c r="I100" s="22" t="s">
        <v>1312</v>
      </c>
      <c r="J100" s="22" t="s">
        <v>1313</v>
      </c>
    </row>
    <row r="101" spans="1:10" ht="31.5" customHeight="1" x14ac:dyDescent="0.15">
      <c r="A101" s="34" t="s">
        <v>1398</v>
      </c>
      <c r="B101" s="35">
        <f>$B$3+595</f>
        <v>46769</v>
      </c>
      <c r="C101" s="35">
        <f t="shared" si="2"/>
        <v>46775</v>
      </c>
      <c r="D101" s="36">
        <v>14</v>
      </c>
      <c r="E101" s="36">
        <v>21</v>
      </c>
      <c r="F101" s="37">
        <v>8.25</v>
      </c>
      <c r="G101" s="37">
        <v>6.33</v>
      </c>
      <c r="H101" s="37">
        <v>6</v>
      </c>
      <c r="I101" s="22" t="s">
        <v>1312</v>
      </c>
      <c r="J101" s="22" t="s">
        <v>1313</v>
      </c>
    </row>
    <row r="102" spans="1:10" ht="31.5" customHeight="1" x14ac:dyDescent="0.15">
      <c r="A102" s="34" t="s">
        <v>1399</v>
      </c>
      <c r="B102" s="35">
        <f>$B$3+602</f>
        <v>46776</v>
      </c>
      <c r="C102" s="35">
        <f t="shared" si="2"/>
        <v>46782</v>
      </c>
      <c r="D102" s="36">
        <v>14</v>
      </c>
      <c r="E102" s="36">
        <v>21</v>
      </c>
      <c r="F102" s="37">
        <v>8.25</v>
      </c>
      <c r="G102" s="37">
        <v>6.33</v>
      </c>
      <c r="H102" s="37">
        <v>6</v>
      </c>
      <c r="I102" s="22" t="s">
        <v>1312</v>
      </c>
      <c r="J102" s="22" t="s">
        <v>1313</v>
      </c>
    </row>
    <row r="103" spans="1:10" ht="31.5" customHeight="1" x14ac:dyDescent="0.15">
      <c r="A103" s="34" t="s">
        <v>1400</v>
      </c>
      <c r="B103" s="35">
        <f>$B$3+609</f>
        <v>46783</v>
      </c>
      <c r="C103" s="35">
        <f t="shared" si="2"/>
        <v>46789</v>
      </c>
      <c r="D103" s="36">
        <v>14</v>
      </c>
      <c r="E103" s="36">
        <v>21</v>
      </c>
      <c r="F103" s="37">
        <v>8.25</v>
      </c>
      <c r="G103" s="37">
        <v>6.33</v>
      </c>
      <c r="H103" s="37">
        <v>6</v>
      </c>
      <c r="I103" s="22" t="s">
        <v>1312</v>
      </c>
      <c r="J103" s="22" t="s">
        <v>1313</v>
      </c>
    </row>
    <row r="104" spans="1:10" ht="31.5" customHeight="1" x14ac:dyDescent="0.15">
      <c r="A104" s="34" t="s">
        <v>1401</v>
      </c>
      <c r="B104" s="35">
        <f>$B$3+616</f>
        <v>46790</v>
      </c>
      <c r="C104" s="35">
        <f t="shared" si="2"/>
        <v>46796</v>
      </c>
      <c r="D104" s="36">
        <v>14</v>
      </c>
      <c r="E104" s="36">
        <v>21</v>
      </c>
      <c r="F104" s="37">
        <v>8.25</v>
      </c>
      <c r="G104" s="37">
        <v>6.33</v>
      </c>
      <c r="H104" s="37">
        <v>6</v>
      </c>
      <c r="I104" s="22" t="s">
        <v>1312</v>
      </c>
      <c r="J104" s="22" t="s">
        <v>1313</v>
      </c>
    </row>
    <row r="105" spans="1:10" ht="31.5" customHeight="1" x14ac:dyDescent="0.15">
      <c r="A105" s="34" t="s">
        <v>1402</v>
      </c>
      <c r="B105" s="35">
        <f>$B$3+623</f>
        <v>46797</v>
      </c>
      <c r="C105" s="35">
        <f t="shared" si="2"/>
        <v>46803</v>
      </c>
      <c r="D105" s="36">
        <v>14</v>
      </c>
      <c r="E105" s="36">
        <v>21</v>
      </c>
      <c r="F105" s="37">
        <v>8.25</v>
      </c>
      <c r="G105" s="37">
        <v>6.33</v>
      </c>
      <c r="H105" s="37">
        <v>6</v>
      </c>
      <c r="I105" s="22" t="s">
        <v>1312</v>
      </c>
      <c r="J105" s="22" t="s">
        <v>1313</v>
      </c>
    </row>
    <row r="106" spans="1:10" ht="31.5" customHeight="1" x14ac:dyDescent="0.15">
      <c r="A106" s="34" t="s">
        <v>1403</v>
      </c>
      <c r="B106" s="35">
        <f>$B$3+630</f>
        <v>46804</v>
      </c>
      <c r="C106" s="35">
        <f t="shared" si="2"/>
        <v>46810</v>
      </c>
      <c r="D106" s="36">
        <v>14</v>
      </c>
      <c r="E106" s="36">
        <v>21</v>
      </c>
      <c r="F106" s="37">
        <v>8.25</v>
      </c>
      <c r="G106" s="37">
        <v>6.33</v>
      </c>
      <c r="H106" s="37">
        <v>6</v>
      </c>
      <c r="I106" s="22" t="s">
        <v>1312</v>
      </c>
      <c r="J106" s="22" t="s">
        <v>1313</v>
      </c>
    </row>
    <row r="107" spans="1:10" ht="31.5" customHeight="1" x14ac:dyDescent="0.15">
      <c r="A107" s="34" t="s">
        <v>1404</v>
      </c>
      <c r="B107" s="35">
        <f>$B$3+637</f>
        <v>46811</v>
      </c>
      <c r="C107" s="35">
        <f t="shared" si="2"/>
        <v>46817</v>
      </c>
      <c r="D107" s="36">
        <v>14</v>
      </c>
      <c r="E107" s="36">
        <v>21</v>
      </c>
      <c r="F107" s="37">
        <v>8.25</v>
      </c>
      <c r="G107" s="37">
        <v>6.33</v>
      </c>
      <c r="H107" s="37">
        <v>6</v>
      </c>
      <c r="I107" s="22" t="s">
        <v>1312</v>
      </c>
      <c r="J107" s="22" t="s">
        <v>1313</v>
      </c>
    </row>
    <row r="108" spans="1:10" ht="31.5" customHeight="1" x14ac:dyDescent="0.15">
      <c r="A108" s="34" t="s">
        <v>1405</v>
      </c>
      <c r="B108" s="35">
        <f>$B$3+644</f>
        <v>46818</v>
      </c>
      <c r="C108" s="35">
        <f t="shared" si="2"/>
        <v>46824</v>
      </c>
      <c r="D108" s="36">
        <v>14</v>
      </c>
      <c r="E108" s="36">
        <v>21</v>
      </c>
      <c r="F108" s="37">
        <v>8.25</v>
      </c>
      <c r="G108" s="37">
        <v>6.33</v>
      </c>
      <c r="H108" s="37">
        <v>6</v>
      </c>
      <c r="I108" s="22" t="s">
        <v>1312</v>
      </c>
      <c r="J108" s="22" t="s">
        <v>1313</v>
      </c>
    </row>
    <row r="109" spans="1:10" ht="31.5" customHeight="1" x14ac:dyDescent="0.15">
      <c r="A109" s="34" t="s">
        <v>1406</v>
      </c>
      <c r="B109" s="35">
        <f>$B$3+651</f>
        <v>46825</v>
      </c>
      <c r="C109" s="35">
        <f t="shared" si="2"/>
        <v>46831</v>
      </c>
      <c r="D109" s="36">
        <v>14</v>
      </c>
      <c r="E109" s="36">
        <v>21</v>
      </c>
      <c r="F109" s="37">
        <v>8.25</v>
      </c>
      <c r="G109" s="37">
        <v>6.33</v>
      </c>
      <c r="H109" s="37">
        <v>6</v>
      </c>
      <c r="I109" s="22" t="s">
        <v>1312</v>
      </c>
      <c r="J109" s="22" t="s">
        <v>1313</v>
      </c>
    </row>
    <row r="110" spans="1:10" ht="31.5" customHeight="1" x14ac:dyDescent="0.15">
      <c r="A110" s="34" t="s">
        <v>1407</v>
      </c>
      <c r="B110" s="35">
        <f>$B$3+658</f>
        <v>46832</v>
      </c>
      <c r="C110" s="35">
        <f t="shared" si="2"/>
        <v>46838</v>
      </c>
      <c r="D110" s="36">
        <v>14</v>
      </c>
      <c r="E110" s="36">
        <v>21</v>
      </c>
      <c r="F110" s="37">
        <v>8.25</v>
      </c>
      <c r="G110" s="37">
        <v>6.33</v>
      </c>
      <c r="H110" s="37">
        <v>6</v>
      </c>
      <c r="I110" s="22" t="s">
        <v>1312</v>
      </c>
      <c r="J110" s="22" t="s">
        <v>1313</v>
      </c>
    </row>
    <row r="111" spans="1:10" ht="31.5" customHeight="1" x14ac:dyDescent="0.15">
      <c r="A111" s="34" t="s">
        <v>1408</v>
      </c>
      <c r="B111" s="35">
        <f>$B$3+665</f>
        <v>46839</v>
      </c>
      <c r="C111" s="35">
        <f t="shared" si="2"/>
        <v>46845</v>
      </c>
      <c r="D111" s="36">
        <v>14</v>
      </c>
      <c r="E111" s="36">
        <v>21</v>
      </c>
      <c r="F111" s="37">
        <v>8.25</v>
      </c>
      <c r="G111" s="37">
        <v>6.33</v>
      </c>
      <c r="H111" s="37">
        <v>6</v>
      </c>
      <c r="I111" s="22" t="s">
        <v>1312</v>
      </c>
      <c r="J111" s="22" t="s">
        <v>1313</v>
      </c>
    </row>
    <row r="112" spans="1:10" ht="31.5" customHeight="1" x14ac:dyDescent="0.15">
      <c r="A112" s="34" t="s">
        <v>1409</v>
      </c>
      <c r="B112" s="35">
        <f>$B$3+672</f>
        <v>46846</v>
      </c>
      <c r="C112" s="35">
        <f t="shared" ref="C112:C143" si="3">B112+6</f>
        <v>46852</v>
      </c>
      <c r="D112" s="36">
        <v>14</v>
      </c>
      <c r="E112" s="36">
        <v>21</v>
      </c>
      <c r="F112" s="37">
        <v>8.25</v>
      </c>
      <c r="G112" s="37">
        <v>6.33</v>
      </c>
      <c r="H112" s="37">
        <v>6</v>
      </c>
      <c r="I112" s="22" t="s">
        <v>1312</v>
      </c>
      <c r="J112" s="22" t="s">
        <v>1313</v>
      </c>
    </row>
    <row r="113" spans="1:10" ht="31.5" customHeight="1" x14ac:dyDescent="0.15">
      <c r="A113" s="34" t="s">
        <v>1410</v>
      </c>
      <c r="B113" s="35">
        <f>$B$3+679</f>
        <v>46853</v>
      </c>
      <c r="C113" s="35">
        <f t="shared" si="3"/>
        <v>46859</v>
      </c>
      <c r="D113" s="36">
        <v>14</v>
      </c>
      <c r="E113" s="36">
        <v>21</v>
      </c>
      <c r="F113" s="37">
        <v>8.25</v>
      </c>
      <c r="G113" s="37">
        <v>6.33</v>
      </c>
      <c r="H113" s="37">
        <v>6</v>
      </c>
      <c r="I113" s="22" t="s">
        <v>1312</v>
      </c>
      <c r="J113" s="22" t="s">
        <v>1313</v>
      </c>
    </row>
    <row r="114" spans="1:10" ht="31.5" customHeight="1" x14ac:dyDescent="0.15">
      <c r="A114" s="34" t="s">
        <v>1411</v>
      </c>
      <c r="B114" s="35">
        <f>$B$3+686</f>
        <v>46860</v>
      </c>
      <c r="C114" s="35">
        <f t="shared" si="3"/>
        <v>46866</v>
      </c>
      <c r="D114" s="36">
        <v>14</v>
      </c>
      <c r="E114" s="36">
        <v>21</v>
      </c>
      <c r="F114" s="37">
        <v>8.25</v>
      </c>
      <c r="G114" s="37">
        <v>6.33</v>
      </c>
      <c r="H114" s="37">
        <v>6</v>
      </c>
      <c r="I114" s="22" t="s">
        <v>1312</v>
      </c>
      <c r="J114" s="22" t="s">
        <v>1313</v>
      </c>
    </row>
    <row r="115" spans="1:10" ht="31.5" customHeight="1" x14ac:dyDescent="0.15">
      <c r="A115" s="34" t="s">
        <v>1167</v>
      </c>
      <c r="B115" s="35">
        <f>$B$3+693</f>
        <v>46867</v>
      </c>
      <c r="C115" s="35">
        <f t="shared" si="3"/>
        <v>46873</v>
      </c>
      <c r="D115" s="36">
        <v>14</v>
      </c>
      <c r="E115" s="36">
        <v>21</v>
      </c>
      <c r="F115" s="37">
        <v>8.25</v>
      </c>
      <c r="G115" s="37">
        <v>6.33</v>
      </c>
      <c r="H115" s="37">
        <v>6</v>
      </c>
      <c r="I115" s="22" t="s">
        <v>1312</v>
      </c>
      <c r="J115" s="22" t="s">
        <v>1313</v>
      </c>
    </row>
    <row r="116" spans="1:10" ht="31.5" customHeight="1" x14ac:dyDescent="0.15">
      <c r="A116" s="34" t="s">
        <v>1173</v>
      </c>
      <c r="B116" s="35">
        <f>$B$3+700</f>
        <v>46874</v>
      </c>
      <c r="C116" s="35">
        <f t="shared" si="3"/>
        <v>46880</v>
      </c>
      <c r="D116" s="36">
        <v>14</v>
      </c>
      <c r="E116" s="36">
        <v>21</v>
      </c>
      <c r="F116" s="37">
        <v>8.25</v>
      </c>
      <c r="G116" s="37">
        <v>6.33</v>
      </c>
      <c r="H116" s="37">
        <v>6</v>
      </c>
      <c r="I116" s="22" t="s">
        <v>1312</v>
      </c>
      <c r="J116" s="22" t="s">
        <v>1313</v>
      </c>
    </row>
    <row r="117" spans="1:10" ht="31.5" customHeight="1" x14ac:dyDescent="0.15">
      <c r="A117" s="34" t="s">
        <v>1176</v>
      </c>
      <c r="B117" s="35">
        <f>$B$3+707</f>
        <v>46881</v>
      </c>
      <c r="C117" s="35">
        <f t="shared" si="3"/>
        <v>46887</v>
      </c>
      <c r="D117" s="36">
        <v>14</v>
      </c>
      <c r="E117" s="36">
        <v>21</v>
      </c>
      <c r="F117" s="37">
        <v>8.25</v>
      </c>
      <c r="G117" s="37">
        <v>6.33</v>
      </c>
      <c r="H117" s="37">
        <v>6</v>
      </c>
      <c r="I117" s="22" t="s">
        <v>1312</v>
      </c>
      <c r="J117" s="22" t="s">
        <v>1313</v>
      </c>
    </row>
    <row r="118" spans="1:10" ht="31.5" customHeight="1" x14ac:dyDescent="0.15">
      <c r="A118" s="34" t="s">
        <v>1180</v>
      </c>
      <c r="B118" s="35">
        <f>$B$3+714</f>
        <v>46888</v>
      </c>
      <c r="C118" s="35">
        <f t="shared" si="3"/>
        <v>46894</v>
      </c>
      <c r="D118" s="36">
        <v>14</v>
      </c>
      <c r="E118" s="36">
        <v>21</v>
      </c>
      <c r="F118" s="37">
        <v>8.25</v>
      </c>
      <c r="G118" s="37">
        <v>6.33</v>
      </c>
      <c r="H118" s="37">
        <v>6</v>
      </c>
      <c r="I118" s="22" t="s">
        <v>1312</v>
      </c>
      <c r="J118" s="22" t="s">
        <v>1313</v>
      </c>
    </row>
    <row r="119" spans="1:10" ht="31.5" customHeight="1" x14ac:dyDescent="0.15">
      <c r="A119" s="34" t="s">
        <v>1183</v>
      </c>
      <c r="B119" s="35">
        <f>$B$3+721</f>
        <v>46895</v>
      </c>
      <c r="C119" s="35">
        <f t="shared" si="3"/>
        <v>46901</v>
      </c>
      <c r="D119" s="36">
        <v>14</v>
      </c>
      <c r="E119" s="36">
        <v>21</v>
      </c>
      <c r="F119" s="37">
        <v>8.25</v>
      </c>
      <c r="G119" s="37">
        <v>6.33</v>
      </c>
      <c r="H119" s="37">
        <v>6</v>
      </c>
      <c r="I119" s="22" t="s">
        <v>1312</v>
      </c>
      <c r="J119" s="22" t="s">
        <v>1313</v>
      </c>
    </row>
    <row r="120" spans="1:10" ht="31.5" customHeight="1" x14ac:dyDescent="0.15">
      <c r="A120" s="34" t="s">
        <v>1189</v>
      </c>
      <c r="B120" s="35">
        <f>$B$3+728</f>
        <v>46902</v>
      </c>
      <c r="C120" s="35">
        <f t="shared" si="3"/>
        <v>46908</v>
      </c>
      <c r="D120" s="36">
        <v>14</v>
      </c>
      <c r="E120" s="36">
        <v>21</v>
      </c>
      <c r="F120" s="37">
        <v>8.25</v>
      </c>
      <c r="G120" s="37">
        <v>6.33</v>
      </c>
      <c r="H120" s="37">
        <v>6</v>
      </c>
      <c r="I120" s="22" t="s">
        <v>1312</v>
      </c>
      <c r="J120" s="22" t="s">
        <v>1313</v>
      </c>
    </row>
    <row r="121" spans="1:10" ht="31.5" customHeight="1" x14ac:dyDescent="0.15">
      <c r="A121" s="34" t="s">
        <v>1192</v>
      </c>
      <c r="B121" s="35">
        <f>$B$3+735</f>
        <v>46909</v>
      </c>
      <c r="C121" s="35">
        <f t="shared" si="3"/>
        <v>46915</v>
      </c>
      <c r="D121" s="36">
        <v>14</v>
      </c>
      <c r="E121" s="36">
        <v>21</v>
      </c>
      <c r="F121" s="37">
        <v>8.25</v>
      </c>
      <c r="G121" s="37">
        <v>6.33</v>
      </c>
      <c r="H121" s="37">
        <v>6</v>
      </c>
      <c r="I121" s="22" t="s">
        <v>1312</v>
      </c>
      <c r="J121" s="22" t="s">
        <v>1313</v>
      </c>
    </row>
    <row r="122" spans="1:10" ht="31.5" customHeight="1" x14ac:dyDescent="0.15">
      <c r="A122" s="34" t="s">
        <v>1195</v>
      </c>
      <c r="B122" s="35">
        <f>$B$3+742</f>
        <v>46916</v>
      </c>
      <c r="C122" s="35">
        <f t="shared" si="3"/>
        <v>46922</v>
      </c>
      <c r="D122" s="36">
        <v>14</v>
      </c>
      <c r="E122" s="36">
        <v>21</v>
      </c>
      <c r="F122" s="37">
        <v>8.25</v>
      </c>
      <c r="G122" s="37">
        <v>6.33</v>
      </c>
      <c r="H122" s="37">
        <v>6</v>
      </c>
      <c r="I122" s="22" t="s">
        <v>1312</v>
      </c>
      <c r="J122" s="22" t="s">
        <v>1313</v>
      </c>
    </row>
    <row r="123" spans="1:10" ht="31.5" customHeight="1" x14ac:dyDescent="0.15">
      <c r="A123" s="34" t="s">
        <v>1199</v>
      </c>
      <c r="B123" s="35">
        <f>$B$3+749</f>
        <v>46923</v>
      </c>
      <c r="C123" s="35">
        <f t="shared" si="3"/>
        <v>46929</v>
      </c>
      <c r="D123" s="36">
        <v>14</v>
      </c>
      <c r="E123" s="36">
        <v>21</v>
      </c>
      <c r="F123" s="37">
        <v>8.25</v>
      </c>
      <c r="G123" s="37">
        <v>6.33</v>
      </c>
      <c r="H123" s="37">
        <v>6</v>
      </c>
      <c r="I123" s="22" t="s">
        <v>1312</v>
      </c>
      <c r="J123" s="22" t="s">
        <v>1313</v>
      </c>
    </row>
    <row r="124" spans="1:10" ht="31.5" customHeight="1" x14ac:dyDescent="0.15">
      <c r="A124" s="34" t="s">
        <v>1202</v>
      </c>
      <c r="B124" s="35">
        <f>$B$3+756</f>
        <v>46930</v>
      </c>
      <c r="C124" s="35">
        <f t="shared" si="3"/>
        <v>46936</v>
      </c>
      <c r="D124" s="36">
        <v>14</v>
      </c>
      <c r="E124" s="36">
        <v>21</v>
      </c>
      <c r="F124" s="37">
        <v>8.25</v>
      </c>
      <c r="G124" s="37">
        <v>6.33</v>
      </c>
      <c r="H124" s="37">
        <v>6</v>
      </c>
      <c r="I124" s="22" t="s">
        <v>1312</v>
      </c>
      <c r="J124" s="22" t="s">
        <v>1313</v>
      </c>
    </row>
    <row r="125" spans="1:10" ht="31.5" customHeight="1" x14ac:dyDescent="0.15">
      <c r="A125" s="34" t="s">
        <v>1205</v>
      </c>
      <c r="B125" s="35">
        <f>$B$3+763</f>
        <v>46937</v>
      </c>
      <c r="C125" s="35">
        <f t="shared" si="3"/>
        <v>46943</v>
      </c>
      <c r="D125" s="36">
        <v>14</v>
      </c>
      <c r="E125" s="36">
        <v>21</v>
      </c>
      <c r="F125" s="37">
        <v>8.25</v>
      </c>
      <c r="G125" s="37">
        <v>6.33</v>
      </c>
      <c r="H125" s="37">
        <v>6</v>
      </c>
      <c r="I125" s="22" t="s">
        <v>1312</v>
      </c>
      <c r="J125" s="22" t="s">
        <v>1313</v>
      </c>
    </row>
    <row r="126" spans="1:10" ht="31.5" customHeight="1" x14ac:dyDescent="0.15">
      <c r="A126" s="34" t="s">
        <v>1211</v>
      </c>
      <c r="B126" s="35">
        <f>$B$3+770</f>
        <v>46944</v>
      </c>
      <c r="C126" s="35">
        <f t="shared" si="3"/>
        <v>46950</v>
      </c>
      <c r="D126" s="36">
        <v>14</v>
      </c>
      <c r="E126" s="36">
        <v>21</v>
      </c>
      <c r="F126" s="37">
        <v>8.25</v>
      </c>
      <c r="G126" s="37">
        <v>6.33</v>
      </c>
      <c r="H126" s="37">
        <v>6</v>
      </c>
      <c r="I126" s="22" t="s">
        <v>1312</v>
      </c>
      <c r="J126" s="22" t="s">
        <v>1313</v>
      </c>
    </row>
    <row r="127" spans="1:10" ht="31.5" customHeight="1" x14ac:dyDescent="0.15">
      <c r="A127" s="34" t="s">
        <v>1214</v>
      </c>
      <c r="B127" s="35">
        <f>$B$3+777</f>
        <v>46951</v>
      </c>
      <c r="C127" s="35">
        <f t="shared" si="3"/>
        <v>46957</v>
      </c>
      <c r="D127" s="36">
        <v>14</v>
      </c>
      <c r="E127" s="36">
        <v>21</v>
      </c>
      <c r="F127" s="37">
        <v>8.25</v>
      </c>
      <c r="G127" s="37">
        <v>6.33</v>
      </c>
      <c r="H127" s="37">
        <v>6</v>
      </c>
      <c r="I127" s="22" t="s">
        <v>1312</v>
      </c>
      <c r="J127" s="22" t="s">
        <v>1313</v>
      </c>
    </row>
    <row r="128" spans="1:10" ht="31.5" customHeight="1" x14ac:dyDescent="0.15">
      <c r="A128" s="34" t="s">
        <v>1218</v>
      </c>
      <c r="B128" s="35">
        <f>$B$3+784</f>
        <v>46958</v>
      </c>
      <c r="C128" s="35">
        <f t="shared" si="3"/>
        <v>46964</v>
      </c>
      <c r="D128" s="36">
        <v>14</v>
      </c>
      <c r="E128" s="36">
        <v>21</v>
      </c>
      <c r="F128" s="37">
        <v>8.25</v>
      </c>
      <c r="G128" s="37">
        <v>6.33</v>
      </c>
      <c r="H128" s="37">
        <v>6</v>
      </c>
      <c r="I128" s="22" t="s">
        <v>1312</v>
      </c>
      <c r="J128" s="22" t="s">
        <v>1313</v>
      </c>
    </row>
    <row r="129" spans="1:10" ht="31.5" customHeight="1" x14ac:dyDescent="0.15">
      <c r="A129" s="34" t="s">
        <v>1221</v>
      </c>
      <c r="B129" s="35">
        <f>$B$3+791</f>
        <v>46965</v>
      </c>
      <c r="C129" s="35">
        <f t="shared" si="3"/>
        <v>46971</v>
      </c>
      <c r="D129" s="36">
        <v>14</v>
      </c>
      <c r="E129" s="36">
        <v>21</v>
      </c>
      <c r="F129" s="37">
        <v>8.25</v>
      </c>
      <c r="G129" s="37">
        <v>6.33</v>
      </c>
      <c r="H129" s="37">
        <v>6</v>
      </c>
      <c r="I129" s="22" t="s">
        <v>1312</v>
      </c>
      <c r="J129" s="22" t="s">
        <v>1313</v>
      </c>
    </row>
    <row r="130" spans="1:10" ht="31.5" customHeight="1" x14ac:dyDescent="0.15">
      <c r="A130" s="34" t="s">
        <v>1224</v>
      </c>
      <c r="B130" s="35">
        <f>$B$3+798</f>
        <v>46972</v>
      </c>
      <c r="C130" s="35">
        <f t="shared" si="3"/>
        <v>46978</v>
      </c>
      <c r="D130" s="36">
        <v>14</v>
      </c>
      <c r="E130" s="36">
        <v>21</v>
      </c>
      <c r="F130" s="37">
        <v>8.25</v>
      </c>
      <c r="G130" s="37">
        <v>6.33</v>
      </c>
      <c r="H130" s="37">
        <v>6</v>
      </c>
      <c r="I130" s="22" t="s">
        <v>1312</v>
      </c>
      <c r="J130" s="22" t="s">
        <v>1313</v>
      </c>
    </row>
    <row r="131" spans="1:10" ht="31.5" customHeight="1" x14ac:dyDescent="0.15">
      <c r="A131" s="34" t="s">
        <v>1227</v>
      </c>
      <c r="B131" s="35">
        <f>$B$3+805</f>
        <v>46979</v>
      </c>
      <c r="C131" s="35">
        <f t="shared" si="3"/>
        <v>46985</v>
      </c>
      <c r="D131" s="36">
        <v>14</v>
      </c>
      <c r="E131" s="36">
        <v>21</v>
      </c>
      <c r="F131" s="37">
        <v>8.25</v>
      </c>
      <c r="G131" s="37">
        <v>6.33</v>
      </c>
      <c r="H131" s="37">
        <v>6</v>
      </c>
      <c r="I131" s="22" t="s">
        <v>1312</v>
      </c>
      <c r="J131" s="22" t="s">
        <v>1313</v>
      </c>
    </row>
    <row r="132" spans="1:10" ht="31.5" customHeight="1" x14ac:dyDescent="0.15">
      <c r="A132" s="34" t="s">
        <v>1230</v>
      </c>
      <c r="B132" s="35">
        <f>$B$3+812</f>
        <v>46986</v>
      </c>
      <c r="C132" s="35">
        <f t="shared" si="3"/>
        <v>46992</v>
      </c>
      <c r="D132" s="36">
        <v>14</v>
      </c>
      <c r="E132" s="36">
        <v>21</v>
      </c>
      <c r="F132" s="37">
        <v>8.25</v>
      </c>
      <c r="G132" s="37">
        <v>6.33</v>
      </c>
      <c r="H132" s="37">
        <v>6</v>
      </c>
      <c r="I132" s="22" t="s">
        <v>1312</v>
      </c>
      <c r="J132" s="22" t="s">
        <v>1313</v>
      </c>
    </row>
    <row r="133" spans="1:10" ht="31.5" customHeight="1" x14ac:dyDescent="0.15">
      <c r="A133" s="34" t="s">
        <v>1234</v>
      </c>
      <c r="B133" s="35">
        <f>$B$3+819</f>
        <v>46993</v>
      </c>
      <c r="C133" s="35">
        <f t="shared" si="3"/>
        <v>46999</v>
      </c>
      <c r="D133" s="36">
        <v>14</v>
      </c>
      <c r="E133" s="36">
        <v>21</v>
      </c>
      <c r="F133" s="37">
        <v>8.25</v>
      </c>
      <c r="G133" s="37">
        <v>6.33</v>
      </c>
      <c r="H133" s="37">
        <v>6</v>
      </c>
      <c r="I133" s="22" t="s">
        <v>1312</v>
      </c>
      <c r="J133" s="22" t="s">
        <v>1313</v>
      </c>
    </row>
    <row r="134" spans="1:10" ht="31.5" customHeight="1" x14ac:dyDescent="0.15">
      <c r="A134" s="34" t="s">
        <v>1237</v>
      </c>
      <c r="B134" s="35">
        <f>$B$3+826</f>
        <v>47000</v>
      </c>
      <c r="C134" s="35">
        <f t="shared" si="3"/>
        <v>47006</v>
      </c>
      <c r="D134" s="36">
        <v>14</v>
      </c>
      <c r="E134" s="36">
        <v>21</v>
      </c>
      <c r="F134" s="37">
        <v>8.25</v>
      </c>
      <c r="G134" s="37">
        <v>6.33</v>
      </c>
      <c r="H134" s="37">
        <v>6</v>
      </c>
      <c r="I134" s="22" t="s">
        <v>1312</v>
      </c>
      <c r="J134" s="22" t="s">
        <v>1313</v>
      </c>
    </row>
    <row r="135" spans="1:10" ht="31.5" customHeight="1" x14ac:dyDescent="0.15">
      <c r="A135" s="34" t="s">
        <v>1240</v>
      </c>
      <c r="B135" s="35">
        <f>$B$3+833</f>
        <v>47007</v>
      </c>
      <c r="C135" s="35">
        <f t="shared" si="3"/>
        <v>47013</v>
      </c>
      <c r="D135" s="36">
        <v>14</v>
      </c>
      <c r="E135" s="36">
        <v>21</v>
      </c>
      <c r="F135" s="37">
        <v>8.25</v>
      </c>
      <c r="G135" s="37">
        <v>6.33</v>
      </c>
      <c r="H135" s="37">
        <v>6</v>
      </c>
      <c r="I135" s="22" t="s">
        <v>1312</v>
      </c>
      <c r="J135" s="22" t="s">
        <v>1313</v>
      </c>
    </row>
    <row r="136" spans="1:10" ht="31.5" customHeight="1" x14ac:dyDescent="0.15">
      <c r="A136" s="34" t="s">
        <v>1243</v>
      </c>
      <c r="B136" s="35">
        <f>$B$3+840</f>
        <v>47014</v>
      </c>
      <c r="C136" s="35">
        <f t="shared" si="3"/>
        <v>47020</v>
      </c>
      <c r="D136" s="36">
        <v>14</v>
      </c>
      <c r="E136" s="36">
        <v>21</v>
      </c>
      <c r="F136" s="37">
        <v>8.25</v>
      </c>
      <c r="G136" s="37">
        <v>6.33</v>
      </c>
      <c r="H136" s="37">
        <v>6</v>
      </c>
      <c r="I136" s="22" t="s">
        <v>1312</v>
      </c>
      <c r="J136" s="22" t="s">
        <v>1313</v>
      </c>
    </row>
    <row r="137" spans="1:10" ht="31.5" customHeight="1" x14ac:dyDescent="0.15">
      <c r="A137" s="34" t="s">
        <v>1246</v>
      </c>
      <c r="B137" s="35">
        <f>$B$3+847</f>
        <v>47021</v>
      </c>
      <c r="C137" s="35">
        <f t="shared" si="3"/>
        <v>47027</v>
      </c>
      <c r="D137" s="36">
        <v>14</v>
      </c>
      <c r="E137" s="36">
        <v>21</v>
      </c>
      <c r="F137" s="37">
        <v>8.25</v>
      </c>
      <c r="G137" s="37">
        <v>6.33</v>
      </c>
      <c r="H137" s="37">
        <v>6</v>
      </c>
      <c r="I137" s="22" t="s">
        <v>1312</v>
      </c>
      <c r="J137" s="22" t="s">
        <v>1313</v>
      </c>
    </row>
  </sheetData>
  <mergeCells count="13">
    <mergeCell ref="I11:J11"/>
    <mergeCell ref="I12:J12"/>
    <mergeCell ref="A14:J14"/>
    <mergeCell ref="I6:J6"/>
    <mergeCell ref="I7:J7"/>
    <mergeCell ref="I8:J8"/>
    <mergeCell ref="I9:J9"/>
    <mergeCell ref="I10:J10"/>
    <mergeCell ref="A1:J1"/>
    <mergeCell ref="C2:J2"/>
    <mergeCell ref="C3:J3"/>
    <mergeCell ref="A4:J4"/>
    <mergeCell ref="I5:J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6"/>
  <sheetViews>
    <sheetView workbookViewId="0"/>
  </sheetViews>
  <sheetFormatPr baseColWidth="10" defaultColWidth="8.6640625" defaultRowHeight="13" x14ac:dyDescent="0.15"/>
  <cols>
    <col min="1" max="1" width="15" customWidth="1"/>
    <col min="2" max="2" width="45" customWidth="1"/>
    <col min="3" max="3" width="35" customWidth="1"/>
    <col min="4" max="4" width="12" customWidth="1"/>
    <col min="5" max="5" width="25" customWidth="1"/>
    <col min="6" max="6" width="15" customWidth="1"/>
  </cols>
  <sheetData>
    <row r="1" spans="1:6" ht="14" x14ac:dyDescent="0.15">
      <c r="A1" s="16" t="s">
        <v>1412</v>
      </c>
      <c r="B1" s="16" t="s">
        <v>9</v>
      </c>
      <c r="C1" s="16" t="s">
        <v>1413</v>
      </c>
      <c r="D1" s="16" t="s">
        <v>1414</v>
      </c>
      <c r="E1" s="16" t="s">
        <v>1415</v>
      </c>
      <c r="F1" s="16" t="s">
        <v>1416</v>
      </c>
    </row>
    <row r="2" spans="1:6" x14ac:dyDescent="0.15">
      <c r="A2" t="s">
        <v>1417</v>
      </c>
      <c r="B2" t="s">
        <v>1418</v>
      </c>
      <c r="C2" t="s">
        <v>112</v>
      </c>
      <c r="D2" t="s">
        <v>777</v>
      </c>
      <c r="E2" t="s">
        <v>1419</v>
      </c>
      <c r="F2" t="s">
        <v>1420</v>
      </c>
    </row>
    <row r="3" spans="1:6" x14ac:dyDescent="0.15">
      <c r="A3" t="s">
        <v>1421</v>
      </c>
      <c r="B3" t="s">
        <v>1422</v>
      </c>
      <c r="C3" t="s">
        <v>83</v>
      </c>
      <c r="D3" t="s">
        <v>777</v>
      </c>
      <c r="E3" t="s">
        <v>1423</v>
      </c>
      <c r="F3" t="s">
        <v>1420</v>
      </c>
    </row>
    <row r="4" spans="1:6" x14ac:dyDescent="0.15">
      <c r="A4" t="s">
        <v>1424</v>
      </c>
      <c r="B4" t="s">
        <v>1425</v>
      </c>
      <c r="C4" t="s">
        <v>1426</v>
      </c>
      <c r="D4" t="s">
        <v>777</v>
      </c>
      <c r="E4" t="s">
        <v>1427</v>
      </c>
      <c r="F4" t="s">
        <v>1420</v>
      </c>
    </row>
    <row r="5" spans="1:6" x14ac:dyDescent="0.15">
      <c r="A5" t="s">
        <v>1424</v>
      </c>
      <c r="B5" t="s">
        <v>1428</v>
      </c>
      <c r="C5" t="s">
        <v>1426</v>
      </c>
      <c r="D5" t="s">
        <v>777</v>
      </c>
      <c r="E5" t="s">
        <v>818</v>
      </c>
      <c r="F5" t="s">
        <v>16</v>
      </c>
    </row>
    <row r="6" spans="1:6" x14ac:dyDescent="0.15">
      <c r="A6" t="s">
        <v>1424</v>
      </c>
      <c r="B6" t="s">
        <v>1429</v>
      </c>
      <c r="C6" t="s">
        <v>122</v>
      </c>
      <c r="D6" t="s">
        <v>1430</v>
      </c>
      <c r="E6" t="s">
        <v>1431</v>
      </c>
      <c r="F6" t="s">
        <v>1432</v>
      </c>
    </row>
    <row r="7" spans="1:6" x14ac:dyDescent="0.15">
      <c r="A7" t="s">
        <v>1433</v>
      </c>
      <c r="B7" t="s">
        <v>1434</v>
      </c>
      <c r="C7" t="s">
        <v>102</v>
      </c>
      <c r="D7" t="s">
        <v>777</v>
      </c>
      <c r="E7" t="s">
        <v>1435</v>
      </c>
      <c r="F7" t="s">
        <v>1420</v>
      </c>
    </row>
    <row r="8" spans="1:6" x14ac:dyDescent="0.15">
      <c r="A8" t="s">
        <v>1433</v>
      </c>
      <c r="B8" t="s">
        <v>1436</v>
      </c>
      <c r="C8" t="s">
        <v>102</v>
      </c>
      <c r="D8" t="s">
        <v>777</v>
      </c>
      <c r="E8" t="s">
        <v>1437</v>
      </c>
      <c r="F8" t="s">
        <v>1432</v>
      </c>
    </row>
    <row r="9" spans="1:6" x14ac:dyDescent="0.15">
      <c r="A9" t="s">
        <v>1433</v>
      </c>
      <c r="B9" t="s">
        <v>1438</v>
      </c>
      <c r="C9" t="s">
        <v>102</v>
      </c>
      <c r="D9" t="s">
        <v>1439</v>
      </c>
      <c r="E9" t="s">
        <v>1440</v>
      </c>
      <c r="F9" t="s">
        <v>1420</v>
      </c>
    </row>
    <row r="10" spans="1:6" x14ac:dyDescent="0.15">
      <c r="A10" t="s">
        <v>1441</v>
      </c>
      <c r="B10" t="s">
        <v>1442</v>
      </c>
      <c r="C10" t="s">
        <v>175</v>
      </c>
      <c r="D10" t="s">
        <v>777</v>
      </c>
      <c r="E10" t="s">
        <v>1443</v>
      </c>
      <c r="F10" t="s">
        <v>1444</v>
      </c>
    </row>
    <row r="11" spans="1:6" x14ac:dyDescent="0.15">
      <c r="A11" t="s">
        <v>1441</v>
      </c>
      <c r="B11" t="s">
        <v>1445</v>
      </c>
      <c r="C11" t="s">
        <v>175</v>
      </c>
      <c r="D11" t="s">
        <v>777</v>
      </c>
      <c r="E11" t="s">
        <v>1446</v>
      </c>
      <c r="F11" t="s">
        <v>1432</v>
      </c>
    </row>
    <row r="12" spans="1:6" x14ac:dyDescent="0.15">
      <c r="A12" t="s">
        <v>1447</v>
      </c>
      <c r="B12" t="s">
        <v>1448</v>
      </c>
      <c r="C12" t="s">
        <v>112</v>
      </c>
      <c r="D12" t="s">
        <v>884</v>
      </c>
      <c r="E12" t="s">
        <v>1449</v>
      </c>
      <c r="F12" t="s">
        <v>1450</v>
      </c>
    </row>
    <row r="13" spans="1:6" x14ac:dyDescent="0.15">
      <c r="A13" t="s">
        <v>1447</v>
      </c>
      <c r="B13" t="s">
        <v>1451</v>
      </c>
      <c r="C13" t="s">
        <v>112</v>
      </c>
      <c r="D13" t="s">
        <v>884</v>
      </c>
      <c r="E13" t="s">
        <v>1452</v>
      </c>
      <c r="F13" t="s">
        <v>1453</v>
      </c>
    </row>
    <row r="14" spans="1:6" x14ac:dyDescent="0.15">
      <c r="A14" t="s">
        <v>1447</v>
      </c>
      <c r="B14" t="s">
        <v>1454</v>
      </c>
      <c r="C14" t="s">
        <v>112</v>
      </c>
      <c r="D14" t="s">
        <v>884</v>
      </c>
      <c r="E14" t="s">
        <v>894</v>
      </c>
      <c r="F14" t="s">
        <v>16</v>
      </c>
    </row>
    <row r="15" spans="1:6" x14ac:dyDescent="0.15">
      <c r="A15" t="s">
        <v>1447</v>
      </c>
      <c r="B15" t="s">
        <v>1455</v>
      </c>
      <c r="C15" t="s">
        <v>112</v>
      </c>
      <c r="D15" t="s">
        <v>884</v>
      </c>
      <c r="E15" t="s">
        <v>1456</v>
      </c>
      <c r="F15" t="s">
        <v>1432</v>
      </c>
    </row>
    <row r="16" spans="1:6" x14ac:dyDescent="0.15">
      <c r="A16" t="s">
        <v>1457</v>
      </c>
      <c r="B16" t="s">
        <v>1458</v>
      </c>
      <c r="C16" t="s">
        <v>242</v>
      </c>
      <c r="D16" t="s">
        <v>1459</v>
      </c>
      <c r="E16" t="s">
        <v>1460</v>
      </c>
      <c r="F16" t="s">
        <v>1461</v>
      </c>
    </row>
    <row r="17" spans="1:6" x14ac:dyDescent="0.15">
      <c r="A17" t="s">
        <v>1457</v>
      </c>
      <c r="B17" t="s">
        <v>1462</v>
      </c>
      <c r="C17" t="s">
        <v>107</v>
      </c>
      <c r="D17" t="s">
        <v>884</v>
      </c>
      <c r="E17" t="s">
        <v>1463</v>
      </c>
      <c r="F17" t="s">
        <v>1432</v>
      </c>
    </row>
    <row r="18" spans="1:6" x14ac:dyDescent="0.15">
      <c r="A18" t="s">
        <v>1457</v>
      </c>
      <c r="B18" t="s">
        <v>1464</v>
      </c>
      <c r="C18" t="s">
        <v>107</v>
      </c>
      <c r="D18" t="s">
        <v>884</v>
      </c>
      <c r="E18" t="s">
        <v>951</v>
      </c>
      <c r="F18" t="s">
        <v>16</v>
      </c>
    </row>
    <row r="19" spans="1:6" x14ac:dyDescent="0.15">
      <c r="A19" t="s">
        <v>1465</v>
      </c>
      <c r="B19" t="s">
        <v>1466</v>
      </c>
      <c r="C19" t="s">
        <v>88</v>
      </c>
      <c r="D19" t="s">
        <v>884</v>
      </c>
      <c r="E19" t="s">
        <v>1467</v>
      </c>
      <c r="F19" t="s">
        <v>1444</v>
      </c>
    </row>
    <row r="20" spans="1:6" x14ac:dyDescent="0.15">
      <c r="A20" t="s">
        <v>1465</v>
      </c>
      <c r="B20" t="s">
        <v>1468</v>
      </c>
      <c r="C20" t="s">
        <v>634</v>
      </c>
      <c r="D20" t="s">
        <v>884</v>
      </c>
      <c r="E20" t="s">
        <v>1469</v>
      </c>
      <c r="F20" t="s">
        <v>1450</v>
      </c>
    </row>
    <row r="21" spans="1:6" x14ac:dyDescent="0.15">
      <c r="A21" t="s">
        <v>1465</v>
      </c>
      <c r="B21" t="s">
        <v>1470</v>
      </c>
      <c r="C21" t="s">
        <v>88</v>
      </c>
      <c r="D21" t="s">
        <v>884</v>
      </c>
      <c r="E21" t="s">
        <v>1471</v>
      </c>
      <c r="F21" t="s">
        <v>1432</v>
      </c>
    </row>
    <row r="22" spans="1:6" x14ac:dyDescent="0.15">
      <c r="A22" t="s">
        <v>1472</v>
      </c>
      <c r="B22" t="s">
        <v>1473</v>
      </c>
      <c r="C22" t="s">
        <v>618</v>
      </c>
      <c r="D22" t="s">
        <v>884</v>
      </c>
      <c r="E22" t="s">
        <v>1474</v>
      </c>
      <c r="F22" t="s">
        <v>1420</v>
      </c>
    </row>
    <row r="23" spans="1:6" x14ac:dyDescent="0.15">
      <c r="A23" t="s">
        <v>1475</v>
      </c>
      <c r="B23" t="s">
        <v>1476</v>
      </c>
      <c r="C23" t="s">
        <v>88</v>
      </c>
      <c r="D23" t="s">
        <v>884</v>
      </c>
      <c r="E23" t="s">
        <v>997</v>
      </c>
      <c r="F23" t="s">
        <v>16</v>
      </c>
    </row>
    <row r="24" spans="1:6" x14ac:dyDescent="0.15">
      <c r="A24" t="s">
        <v>1475</v>
      </c>
      <c r="B24" t="s">
        <v>1477</v>
      </c>
      <c r="C24" t="s">
        <v>1478</v>
      </c>
      <c r="D24" t="s">
        <v>1459</v>
      </c>
      <c r="E24" t="s">
        <v>1479</v>
      </c>
      <c r="F24" t="s">
        <v>1432</v>
      </c>
    </row>
    <row r="25" spans="1:6" x14ac:dyDescent="0.15">
      <c r="A25" t="s">
        <v>1480</v>
      </c>
      <c r="B25" t="s">
        <v>1481</v>
      </c>
      <c r="C25" t="s">
        <v>634</v>
      </c>
      <c r="D25" t="s">
        <v>1459</v>
      </c>
      <c r="E25" t="s">
        <v>1482</v>
      </c>
      <c r="F25" t="s">
        <v>1483</v>
      </c>
    </row>
    <row r="26" spans="1:6" x14ac:dyDescent="0.15">
      <c r="A26" t="s">
        <v>1480</v>
      </c>
      <c r="B26" t="s">
        <v>1484</v>
      </c>
      <c r="C26" t="s">
        <v>634</v>
      </c>
      <c r="D26" t="s">
        <v>1459</v>
      </c>
      <c r="E26" t="s">
        <v>1485</v>
      </c>
      <c r="F26" t="s">
        <v>1483</v>
      </c>
    </row>
    <row r="27" spans="1:6" x14ac:dyDescent="0.15">
      <c r="A27" t="s">
        <v>1480</v>
      </c>
      <c r="B27" t="s">
        <v>1486</v>
      </c>
      <c r="C27" t="s">
        <v>634</v>
      </c>
      <c r="D27" t="s">
        <v>1040</v>
      </c>
      <c r="E27" t="s">
        <v>1133</v>
      </c>
      <c r="F27" t="s">
        <v>1487</v>
      </c>
    </row>
    <row r="28" spans="1:6" x14ac:dyDescent="0.15">
      <c r="A28" t="s">
        <v>1488</v>
      </c>
      <c r="B28" t="s">
        <v>1489</v>
      </c>
      <c r="C28" t="s">
        <v>83</v>
      </c>
      <c r="D28" t="s">
        <v>1040</v>
      </c>
      <c r="E28" t="s">
        <v>1065</v>
      </c>
      <c r="F28" t="s">
        <v>16</v>
      </c>
    </row>
    <row r="29" spans="1:6" x14ac:dyDescent="0.15">
      <c r="A29" t="s">
        <v>1490</v>
      </c>
      <c r="B29" t="s">
        <v>1491</v>
      </c>
      <c r="C29" t="s">
        <v>242</v>
      </c>
      <c r="D29" t="s">
        <v>1040</v>
      </c>
      <c r="E29" t="s">
        <v>1492</v>
      </c>
      <c r="F29" t="s">
        <v>1493</v>
      </c>
    </row>
    <row r="30" spans="1:6" x14ac:dyDescent="0.15">
      <c r="A30" t="s">
        <v>1490</v>
      </c>
      <c r="B30" t="s">
        <v>1494</v>
      </c>
      <c r="C30" t="s">
        <v>242</v>
      </c>
      <c r="D30" t="s">
        <v>1040</v>
      </c>
      <c r="E30" t="s">
        <v>1105</v>
      </c>
      <c r="F30" t="s">
        <v>16</v>
      </c>
    </row>
    <row r="31" spans="1:6" x14ac:dyDescent="0.15">
      <c r="A31" t="s">
        <v>1490</v>
      </c>
      <c r="B31" t="s">
        <v>1495</v>
      </c>
      <c r="C31" t="s">
        <v>242</v>
      </c>
      <c r="D31" t="s">
        <v>1040</v>
      </c>
      <c r="E31" t="s">
        <v>1052</v>
      </c>
      <c r="F31" t="s">
        <v>16</v>
      </c>
    </row>
    <row r="32" spans="1:6" x14ac:dyDescent="0.15">
      <c r="A32" t="s">
        <v>1496</v>
      </c>
      <c r="B32" t="s">
        <v>1497</v>
      </c>
      <c r="C32" t="s">
        <v>175</v>
      </c>
      <c r="D32" t="s">
        <v>1040</v>
      </c>
      <c r="E32" t="s">
        <v>1498</v>
      </c>
      <c r="F32" t="s">
        <v>1499</v>
      </c>
    </row>
    <row r="33" spans="1:6" x14ac:dyDescent="0.15">
      <c r="A33" t="s">
        <v>1496</v>
      </c>
      <c r="B33" t="s">
        <v>1500</v>
      </c>
      <c r="C33" t="s">
        <v>600</v>
      </c>
      <c r="D33" t="s">
        <v>1040</v>
      </c>
      <c r="E33" t="s">
        <v>1205</v>
      </c>
      <c r="F33" t="s">
        <v>16</v>
      </c>
    </row>
    <row r="34" spans="1:6" x14ac:dyDescent="0.15">
      <c r="A34" t="s">
        <v>1496</v>
      </c>
      <c r="B34" t="s">
        <v>1501</v>
      </c>
      <c r="C34" t="s">
        <v>600</v>
      </c>
      <c r="D34" t="s">
        <v>1040</v>
      </c>
      <c r="E34" t="s">
        <v>1502</v>
      </c>
      <c r="F34" t="s">
        <v>1432</v>
      </c>
    </row>
    <row r="36" spans="1:6" ht="14" x14ac:dyDescent="0.15">
      <c r="A36" s="19" t="s">
        <v>1503</v>
      </c>
      <c r="F36" s="19" t="s">
        <v>1504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6"/>
  <sheetViews>
    <sheetView workbookViewId="0"/>
  </sheetViews>
  <sheetFormatPr baseColWidth="10" defaultColWidth="8.6640625" defaultRowHeight="13" x14ac:dyDescent="0.15"/>
  <cols>
    <col min="1" max="2" width="10" customWidth="1"/>
    <col min="3" max="3" width="35" customWidth="1"/>
    <col min="4" max="4" width="45" customWidth="1"/>
    <col min="5" max="5" width="35" customWidth="1"/>
    <col min="6" max="6" width="12" customWidth="1"/>
  </cols>
  <sheetData>
    <row r="1" spans="1:6" ht="21" x14ac:dyDescent="0.25">
      <c r="A1" s="73" t="s">
        <v>1505</v>
      </c>
    </row>
    <row r="3" spans="1:6" ht="14" x14ac:dyDescent="0.15">
      <c r="A3" s="16" t="s">
        <v>63</v>
      </c>
      <c r="B3" s="16" t="s">
        <v>1506</v>
      </c>
      <c r="C3" s="16" t="s">
        <v>1507</v>
      </c>
      <c r="D3" s="16" t="s">
        <v>1508</v>
      </c>
      <c r="E3" s="16" t="s">
        <v>1509</v>
      </c>
      <c r="F3" s="16" t="s">
        <v>1510</v>
      </c>
    </row>
    <row r="4" spans="1:6" ht="66" customHeight="1" x14ac:dyDescent="0.15">
      <c r="A4" s="20" t="s">
        <v>777</v>
      </c>
      <c r="B4" s="20" t="s">
        <v>1511</v>
      </c>
      <c r="C4" s="72" t="s">
        <v>2626</v>
      </c>
      <c r="D4" s="72" t="s">
        <v>2627</v>
      </c>
      <c r="E4" s="72" t="s">
        <v>2628</v>
      </c>
      <c r="F4" s="20" t="s">
        <v>1512</v>
      </c>
    </row>
    <row r="5" spans="1:6" ht="66" customHeight="1" x14ac:dyDescent="0.15">
      <c r="A5" s="20" t="s">
        <v>884</v>
      </c>
      <c r="B5" s="20" t="s">
        <v>1513</v>
      </c>
      <c r="C5" s="72" t="s">
        <v>2629</v>
      </c>
      <c r="D5" s="72" t="s">
        <v>2630</v>
      </c>
      <c r="E5" s="72" t="s">
        <v>2631</v>
      </c>
      <c r="F5" s="20" t="s">
        <v>1514</v>
      </c>
    </row>
    <row r="6" spans="1:6" ht="66" customHeight="1" x14ac:dyDescent="0.15">
      <c r="A6" s="20" t="s">
        <v>1040</v>
      </c>
      <c r="B6" s="20" t="s">
        <v>1515</v>
      </c>
      <c r="C6" s="72" t="s">
        <v>2632</v>
      </c>
      <c r="D6" s="72" t="s">
        <v>2633</v>
      </c>
      <c r="E6" s="72" t="s">
        <v>2634</v>
      </c>
      <c r="F6" s="20" t="s">
        <v>1514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"/>
  <sheetViews>
    <sheetView workbookViewId="0">
      <selection sqref="A1:F1"/>
    </sheetView>
  </sheetViews>
  <sheetFormatPr baseColWidth="10" defaultColWidth="8.6640625" defaultRowHeight="13" x14ac:dyDescent="0.15"/>
  <cols>
    <col min="1" max="1" width="28" customWidth="1"/>
    <col min="2" max="2" width="14" customWidth="1"/>
    <col min="3" max="3" width="28" customWidth="1"/>
    <col min="4" max="4" width="38" customWidth="1"/>
    <col min="5" max="5" width="52" customWidth="1"/>
    <col min="6" max="6" width="42" customWidth="1"/>
  </cols>
  <sheetData>
    <row r="1" spans="1:6" ht="24.75" customHeight="1" x14ac:dyDescent="0.25">
      <c r="A1" s="8" t="s">
        <v>2635</v>
      </c>
      <c r="B1" s="8"/>
      <c r="C1" s="8"/>
      <c r="D1" s="8"/>
      <c r="E1" s="8"/>
      <c r="F1" s="8"/>
    </row>
    <row r="2" spans="1:6" ht="39.75" customHeight="1" x14ac:dyDescent="0.15">
      <c r="A2" s="7" t="s">
        <v>2636</v>
      </c>
      <c r="B2" s="7"/>
      <c r="C2" s="7"/>
      <c r="D2" s="7"/>
      <c r="E2" s="7"/>
      <c r="F2" s="7"/>
    </row>
    <row r="4" spans="1:6" ht="30" customHeight="1" x14ac:dyDescent="0.15">
      <c r="A4" s="38" t="s">
        <v>1516</v>
      </c>
      <c r="B4" s="38" t="s">
        <v>63</v>
      </c>
      <c r="C4" s="38" t="s">
        <v>1517</v>
      </c>
      <c r="D4" s="38" t="s">
        <v>1518</v>
      </c>
      <c r="E4" s="38" t="s">
        <v>1519</v>
      </c>
      <c r="F4" s="38" t="s">
        <v>1520</v>
      </c>
    </row>
    <row r="5" spans="1:6" ht="66" customHeight="1" x14ac:dyDescent="0.15">
      <c r="A5" s="69" t="s">
        <v>2637</v>
      </c>
      <c r="B5" s="67" t="s">
        <v>2638</v>
      </c>
      <c r="C5" s="66" t="s">
        <v>2639</v>
      </c>
      <c r="D5" s="66" t="s">
        <v>2640</v>
      </c>
      <c r="E5" s="66" t="s">
        <v>2641</v>
      </c>
      <c r="F5" s="66" t="s">
        <v>2642</v>
      </c>
    </row>
    <row r="6" spans="1:6" ht="66" customHeight="1" x14ac:dyDescent="0.15">
      <c r="A6" s="69" t="s">
        <v>2643</v>
      </c>
      <c r="B6" s="67" t="s">
        <v>2638</v>
      </c>
      <c r="C6" s="66" t="s">
        <v>2644</v>
      </c>
      <c r="D6" s="66" t="s">
        <v>2645</v>
      </c>
      <c r="E6" s="66" t="s">
        <v>2646</v>
      </c>
      <c r="F6" s="66" t="s">
        <v>2647</v>
      </c>
    </row>
    <row r="7" spans="1:6" ht="66" customHeight="1" x14ac:dyDescent="0.15">
      <c r="A7" s="69" t="s">
        <v>2648</v>
      </c>
      <c r="B7" s="67" t="s">
        <v>2638</v>
      </c>
      <c r="C7" s="66" t="s">
        <v>2649</v>
      </c>
      <c r="D7" s="66" t="s">
        <v>2650</v>
      </c>
      <c r="E7" s="66" t="s">
        <v>2651</v>
      </c>
      <c r="F7" s="66" t="s">
        <v>2652</v>
      </c>
    </row>
    <row r="8" spans="1:6" ht="66" customHeight="1" x14ac:dyDescent="0.15">
      <c r="A8" s="69" t="s">
        <v>2653</v>
      </c>
      <c r="B8" s="67" t="s">
        <v>2654</v>
      </c>
      <c r="C8" s="66" t="s">
        <v>2655</v>
      </c>
      <c r="D8" s="66" t="s">
        <v>2656</v>
      </c>
      <c r="E8" s="66" t="s">
        <v>2657</v>
      </c>
      <c r="F8" s="66" t="s">
        <v>2658</v>
      </c>
    </row>
    <row r="9" spans="1:6" ht="60" customHeight="1" x14ac:dyDescent="0.15">
      <c r="A9" s="70" t="s">
        <v>2659</v>
      </c>
      <c r="B9" s="71" t="s">
        <v>2660</v>
      </c>
      <c r="C9" s="68" t="s">
        <v>2661</v>
      </c>
      <c r="D9" s="68" t="s">
        <v>2662</v>
      </c>
      <c r="E9" s="68" t="s">
        <v>2663</v>
      </c>
      <c r="F9" s="68" t="s">
        <v>2664</v>
      </c>
    </row>
    <row r="10" spans="1:6" ht="60" customHeight="1" x14ac:dyDescent="0.15">
      <c r="A10" s="70" t="s">
        <v>2665</v>
      </c>
      <c r="B10" s="71" t="s">
        <v>2666</v>
      </c>
      <c r="C10" s="68" t="s">
        <v>2667</v>
      </c>
      <c r="D10" s="68" t="s">
        <v>2668</v>
      </c>
      <c r="E10" s="68" t="s">
        <v>2669</v>
      </c>
      <c r="F10" s="68" t="s">
        <v>2670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4"/>
  <sheetViews>
    <sheetView workbookViewId="0">
      <selection sqref="A1:F1"/>
    </sheetView>
  </sheetViews>
  <sheetFormatPr baseColWidth="10" defaultColWidth="8.6640625" defaultRowHeight="13" x14ac:dyDescent="0.15"/>
  <cols>
    <col min="1" max="1" width="14" customWidth="1"/>
    <col min="2" max="2" width="12" customWidth="1"/>
    <col min="3" max="3" width="36" customWidth="1"/>
    <col min="4" max="4" width="32" customWidth="1"/>
    <col min="5" max="5" width="52" customWidth="1"/>
    <col min="6" max="6" width="18" customWidth="1"/>
  </cols>
  <sheetData>
    <row r="1" spans="1:6" ht="24.75" customHeight="1" x14ac:dyDescent="0.25">
      <c r="A1" s="6" t="s">
        <v>1521</v>
      </c>
      <c r="B1" s="6"/>
      <c r="C1" s="6"/>
      <c r="D1" s="6"/>
      <c r="E1" s="6"/>
      <c r="F1" s="6"/>
    </row>
    <row r="2" spans="1:6" ht="54.75" customHeight="1" x14ac:dyDescent="0.15">
      <c r="A2" s="5" t="s">
        <v>1522</v>
      </c>
      <c r="B2" s="5"/>
      <c r="C2" s="5"/>
      <c r="D2" s="5"/>
      <c r="E2" s="5"/>
      <c r="F2" s="5"/>
    </row>
    <row r="4" spans="1:6" ht="30" customHeight="1" x14ac:dyDescent="0.15">
      <c r="A4" s="38" t="s">
        <v>1523</v>
      </c>
      <c r="B4" s="38" t="s">
        <v>62</v>
      </c>
      <c r="C4" s="38" t="s">
        <v>1260</v>
      </c>
      <c r="D4" s="38" t="s">
        <v>1524</v>
      </c>
      <c r="E4" s="38" t="s">
        <v>1525</v>
      </c>
      <c r="F4" s="38" t="s">
        <v>1526</v>
      </c>
    </row>
    <row r="5" spans="1:6" ht="60" customHeight="1" x14ac:dyDescent="0.15">
      <c r="A5" s="41" t="s">
        <v>1527</v>
      </c>
      <c r="B5" s="39" t="s">
        <v>1528</v>
      </c>
      <c r="C5" s="42" t="s">
        <v>1529</v>
      </c>
      <c r="D5" s="40" t="s">
        <v>1530</v>
      </c>
      <c r="E5" s="40" t="s">
        <v>1531</v>
      </c>
      <c r="F5" s="43" t="s">
        <v>1532</v>
      </c>
    </row>
    <row r="6" spans="1:6" ht="60" customHeight="1" x14ac:dyDescent="0.15">
      <c r="A6" s="41" t="s">
        <v>1427</v>
      </c>
      <c r="B6" s="39" t="s">
        <v>805</v>
      </c>
      <c r="C6" s="44" t="s">
        <v>1533</v>
      </c>
      <c r="D6" s="40" t="s">
        <v>1534</v>
      </c>
      <c r="E6" s="40" t="s">
        <v>1535</v>
      </c>
      <c r="F6" s="43" t="s">
        <v>1536</v>
      </c>
    </row>
    <row r="7" spans="1:6" ht="60" customHeight="1" x14ac:dyDescent="0.15">
      <c r="A7" s="41" t="s">
        <v>1435</v>
      </c>
      <c r="B7" s="39" t="s">
        <v>827</v>
      </c>
      <c r="C7" s="44" t="s">
        <v>1533</v>
      </c>
      <c r="D7" s="40" t="s">
        <v>1537</v>
      </c>
      <c r="E7" s="40" t="s">
        <v>1538</v>
      </c>
      <c r="F7" s="43" t="s">
        <v>1532</v>
      </c>
    </row>
    <row r="8" spans="1:6" ht="60" customHeight="1" x14ac:dyDescent="0.15">
      <c r="A8" s="41" t="s">
        <v>1539</v>
      </c>
      <c r="B8" s="39" t="s">
        <v>843</v>
      </c>
      <c r="C8" s="45" t="s">
        <v>1540</v>
      </c>
      <c r="D8" s="40" t="s">
        <v>1541</v>
      </c>
      <c r="E8" s="40" t="s">
        <v>1542</v>
      </c>
      <c r="F8" s="43" t="s">
        <v>1536</v>
      </c>
    </row>
    <row r="9" spans="1:6" ht="60" customHeight="1" x14ac:dyDescent="0.15">
      <c r="A9" s="41" t="s">
        <v>1543</v>
      </c>
      <c r="B9" s="39" t="s">
        <v>860</v>
      </c>
      <c r="C9" s="46" t="s">
        <v>1544</v>
      </c>
      <c r="D9" s="40" t="s">
        <v>1545</v>
      </c>
      <c r="E9" s="40" t="s">
        <v>1546</v>
      </c>
      <c r="F9" s="43" t="s">
        <v>1547</v>
      </c>
    </row>
    <row r="10" spans="1:6" ht="60" customHeight="1" x14ac:dyDescent="0.15">
      <c r="A10" s="41" t="s">
        <v>1548</v>
      </c>
      <c r="B10" s="39" t="s">
        <v>883</v>
      </c>
      <c r="C10" s="42" t="s">
        <v>1549</v>
      </c>
      <c r="D10" s="40" t="s">
        <v>1550</v>
      </c>
      <c r="E10" s="40" t="s">
        <v>1551</v>
      </c>
      <c r="F10" s="43" t="s">
        <v>1532</v>
      </c>
    </row>
    <row r="11" spans="1:6" ht="60" customHeight="1" x14ac:dyDescent="0.15">
      <c r="A11" s="41" t="s">
        <v>905</v>
      </c>
      <c r="B11" s="39" t="s">
        <v>901</v>
      </c>
      <c r="C11" s="47" t="s">
        <v>1552</v>
      </c>
      <c r="D11" s="40" t="s">
        <v>906</v>
      </c>
      <c r="E11" s="40" t="s">
        <v>1553</v>
      </c>
      <c r="F11" s="43" t="s">
        <v>1554</v>
      </c>
    </row>
    <row r="12" spans="1:6" ht="60" customHeight="1" x14ac:dyDescent="0.15">
      <c r="A12" s="41" t="s">
        <v>1555</v>
      </c>
      <c r="B12" s="39" t="s">
        <v>1556</v>
      </c>
      <c r="C12" s="42" t="s">
        <v>1557</v>
      </c>
      <c r="D12" s="40" t="s">
        <v>1558</v>
      </c>
      <c r="E12" s="40" t="s">
        <v>1559</v>
      </c>
      <c r="F12" s="43" t="s">
        <v>1532</v>
      </c>
    </row>
    <row r="13" spans="1:6" ht="60" customHeight="1" x14ac:dyDescent="0.15">
      <c r="A13" s="41" t="s">
        <v>925</v>
      </c>
      <c r="B13" s="39" t="s">
        <v>916</v>
      </c>
      <c r="C13" s="47" t="s">
        <v>1552</v>
      </c>
      <c r="D13" s="40" t="s">
        <v>926</v>
      </c>
      <c r="E13" s="40" t="s">
        <v>1560</v>
      </c>
      <c r="F13" s="43" t="s">
        <v>1554</v>
      </c>
    </row>
    <row r="14" spans="1:6" ht="60" customHeight="1" x14ac:dyDescent="0.15">
      <c r="A14" s="41" t="s">
        <v>1561</v>
      </c>
      <c r="B14" s="39" t="s">
        <v>1562</v>
      </c>
      <c r="C14" s="44" t="s">
        <v>1533</v>
      </c>
      <c r="D14" s="40" t="s">
        <v>1563</v>
      </c>
      <c r="E14" s="40" t="s">
        <v>1564</v>
      </c>
      <c r="F14" s="43" t="s">
        <v>1532</v>
      </c>
    </row>
    <row r="15" spans="1:6" ht="60" customHeight="1" x14ac:dyDescent="0.15">
      <c r="A15" s="41" t="s">
        <v>1565</v>
      </c>
      <c r="B15" s="39" t="s">
        <v>1566</v>
      </c>
      <c r="C15" s="44" t="s">
        <v>1567</v>
      </c>
      <c r="D15" s="40" t="s">
        <v>1568</v>
      </c>
      <c r="E15" s="40" t="s">
        <v>1569</v>
      </c>
      <c r="F15" s="43" t="s">
        <v>1532</v>
      </c>
    </row>
    <row r="16" spans="1:6" ht="60" customHeight="1" x14ac:dyDescent="0.15">
      <c r="A16" s="41" t="s">
        <v>1570</v>
      </c>
      <c r="B16" s="39" t="s">
        <v>1571</v>
      </c>
      <c r="C16" s="45" t="s">
        <v>1540</v>
      </c>
      <c r="D16" s="40" t="s">
        <v>1572</v>
      </c>
      <c r="E16" s="40" t="s">
        <v>1573</v>
      </c>
      <c r="F16" s="43" t="s">
        <v>1554</v>
      </c>
    </row>
    <row r="17" spans="1:6" ht="60" customHeight="1" x14ac:dyDescent="0.15">
      <c r="A17" s="41" t="s">
        <v>1574</v>
      </c>
      <c r="B17" s="39" t="s">
        <v>1073</v>
      </c>
      <c r="C17" s="47" t="s">
        <v>1575</v>
      </c>
      <c r="D17" s="40" t="s">
        <v>1576</v>
      </c>
      <c r="E17" s="40" t="s">
        <v>1577</v>
      </c>
      <c r="F17" s="43" t="s">
        <v>1578</v>
      </c>
    </row>
    <row r="18" spans="1:6" ht="60" customHeight="1" x14ac:dyDescent="0.15">
      <c r="A18" s="41" t="s">
        <v>1086</v>
      </c>
      <c r="B18" s="39" t="s">
        <v>1087</v>
      </c>
      <c r="C18" s="47" t="s">
        <v>1579</v>
      </c>
      <c r="D18" s="40" t="s">
        <v>1580</v>
      </c>
      <c r="E18" s="40" t="s">
        <v>1581</v>
      </c>
      <c r="F18" s="43" t="s">
        <v>1554</v>
      </c>
    </row>
    <row r="19" spans="1:6" ht="60" customHeight="1" x14ac:dyDescent="0.15">
      <c r="A19" s="41" t="s">
        <v>1582</v>
      </c>
      <c r="B19" s="39" t="s">
        <v>1583</v>
      </c>
      <c r="C19" s="44" t="s">
        <v>1533</v>
      </c>
      <c r="D19" s="40" t="s">
        <v>1584</v>
      </c>
      <c r="E19" s="40" t="s">
        <v>1585</v>
      </c>
      <c r="F19" s="43" t="s">
        <v>1532</v>
      </c>
    </row>
    <row r="20" spans="1:6" ht="60" customHeight="1" x14ac:dyDescent="0.15">
      <c r="A20" s="41" t="s">
        <v>1586</v>
      </c>
      <c r="B20" s="39" t="s">
        <v>1587</v>
      </c>
      <c r="C20" s="42" t="s">
        <v>1588</v>
      </c>
      <c r="D20" s="40" t="s">
        <v>1589</v>
      </c>
      <c r="E20" s="40" t="s">
        <v>1590</v>
      </c>
      <c r="F20" s="43" t="s">
        <v>1532</v>
      </c>
    </row>
    <row r="21" spans="1:6" ht="60" customHeight="1" x14ac:dyDescent="0.15">
      <c r="A21" s="41" t="s">
        <v>1591</v>
      </c>
      <c r="B21" s="39" t="s">
        <v>1592</v>
      </c>
      <c r="C21" s="46" t="s">
        <v>1544</v>
      </c>
      <c r="D21" s="40" t="s">
        <v>1593</v>
      </c>
      <c r="E21" s="40" t="s">
        <v>1594</v>
      </c>
      <c r="F21" s="43" t="s">
        <v>1595</v>
      </c>
    </row>
    <row r="22" spans="1:6" ht="60" customHeight="1" x14ac:dyDescent="0.15">
      <c r="A22" s="41" t="s">
        <v>1596</v>
      </c>
      <c r="B22" s="39" t="s">
        <v>1597</v>
      </c>
      <c r="C22" s="42" t="s">
        <v>1588</v>
      </c>
      <c r="D22" s="40" t="s">
        <v>1598</v>
      </c>
      <c r="E22" s="40" t="s">
        <v>1599</v>
      </c>
      <c r="F22" s="43" t="s">
        <v>1532</v>
      </c>
    </row>
    <row r="23" spans="1:6" ht="60" customHeight="1" x14ac:dyDescent="0.15">
      <c r="A23" s="41" t="s">
        <v>74</v>
      </c>
      <c r="B23" s="39" t="s">
        <v>1600</v>
      </c>
      <c r="C23" s="45" t="s">
        <v>1601</v>
      </c>
      <c r="D23" s="40" t="s">
        <v>1602</v>
      </c>
      <c r="E23" s="40" t="s">
        <v>1603</v>
      </c>
      <c r="F23" s="43" t="s">
        <v>1604</v>
      </c>
    </row>
    <row r="24" spans="1:6" ht="27.75" customHeight="1" x14ac:dyDescent="0.15">
      <c r="A24" s="4" t="s">
        <v>1605</v>
      </c>
      <c r="B24" s="4"/>
      <c r="C24" s="4"/>
      <c r="D24" s="4"/>
      <c r="E24" s="4"/>
      <c r="F24" s="48" t="s">
        <v>1606</v>
      </c>
    </row>
    <row r="26" spans="1:6" ht="24.75" customHeight="1" x14ac:dyDescent="0.2">
      <c r="A26" s="3" t="s">
        <v>1607</v>
      </c>
      <c r="B26" s="3"/>
      <c r="C26" s="3"/>
      <c r="D26" s="3"/>
      <c r="E26" s="3"/>
      <c r="F26" s="3"/>
    </row>
    <row r="27" spans="1:6" ht="30" customHeight="1" x14ac:dyDescent="0.15">
      <c r="A27" s="2" t="s">
        <v>1608</v>
      </c>
      <c r="B27" s="2"/>
      <c r="C27" s="2"/>
      <c r="D27" s="2"/>
      <c r="E27" s="2"/>
      <c r="F27" s="2"/>
    </row>
    <row r="28" spans="1:6" ht="30" customHeight="1" x14ac:dyDescent="0.15">
      <c r="A28" s="2" t="s">
        <v>1609</v>
      </c>
      <c r="B28" s="2"/>
      <c r="C28" s="2"/>
      <c r="D28" s="2"/>
      <c r="E28" s="2"/>
      <c r="F28" s="2"/>
    </row>
    <row r="29" spans="1:6" ht="30" customHeight="1" x14ac:dyDescent="0.15">
      <c r="A29" s="2" t="s">
        <v>1610</v>
      </c>
      <c r="B29" s="2"/>
      <c r="C29" s="2"/>
      <c r="D29" s="2"/>
      <c r="E29" s="2"/>
      <c r="F29" s="2"/>
    </row>
    <row r="30" spans="1:6" ht="30" customHeight="1" x14ac:dyDescent="0.15">
      <c r="A30" s="2" t="s">
        <v>1611</v>
      </c>
      <c r="B30" s="2"/>
      <c r="C30" s="2"/>
      <c r="D30" s="2"/>
      <c r="E30" s="2"/>
      <c r="F30" s="2"/>
    </row>
    <row r="31" spans="1:6" ht="30" customHeight="1" x14ac:dyDescent="0.15">
      <c r="A31" s="2" t="s">
        <v>1612</v>
      </c>
      <c r="B31" s="2"/>
      <c r="C31" s="2"/>
      <c r="D31" s="2"/>
      <c r="E31" s="2"/>
      <c r="F31" s="2"/>
    </row>
    <row r="32" spans="1:6" ht="30" customHeight="1" x14ac:dyDescent="0.15">
      <c r="A32" s="2" t="s">
        <v>1613</v>
      </c>
      <c r="B32" s="2"/>
      <c r="C32" s="2"/>
      <c r="D32" s="2"/>
      <c r="E32" s="2"/>
      <c r="F32" s="2"/>
    </row>
    <row r="33" spans="1:6" ht="30" customHeight="1" x14ac:dyDescent="0.15">
      <c r="A33" s="2" t="s">
        <v>1614</v>
      </c>
      <c r="B33" s="2"/>
      <c r="C33" s="2"/>
      <c r="D33" s="2"/>
      <c r="E33" s="2"/>
      <c r="F33" s="2"/>
    </row>
    <row r="34" spans="1:6" ht="30" customHeight="1" x14ac:dyDescent="0.15">
      <c r="A34" s="2" t="s">
        <v>1615</v>
      </c>
      <c r="B34" s="2"/>
      <c r="C34" s="2"/>
      <c r="D34" s="2"/>
      <c r="E34" s="2"/>
      <c r="F34" s="2"/>
    </row>
  </sheetData>
  <mergeCells count="12">
    <mergeCell ref="A33:F33"/>
    <mergeCell ref="A34:F34"/>
    <mergeCell ref="A28:F28"/>
    <mergeCell ref="A29:F29"/>
    <mergeCell ref="A30:F30"/>
    <mergeCell ref="A31:F31"/>
    <mergeCell ref="A32:F32"/>
    <mergeCell ref="A1:F1"/>
    <mergeCell ref="A2:F2"/>
    <mergeCell ref="A24:E24"/>
    <mergeCell ref="A26:F26"/>
    <mergeCell ref="A27:F2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131"/>
  <sheetViews>
    <sheetView topLeftCell="A52" workbookViewId="0">
      <selection activeCell="F10" sqref="F10"/>
    </sheetView>
  </sheetViews>
  <sheetFormatPr baseColWidth="10" defaultColWidth="8.6640625" defaultRowHeight="13" x14ac:dyDescent="0.15"/>
  <cols>
    <col min="1" max="1" width="11" customWidth="1"/>
    <col min="2" max="2" width="13" customWidth="1"/>
    <col min="3" max="3" width="27" customWidth="1"/>
    <col min="4" max="4" width="34" customWidth="1"/>
    <col min="5" max="6" width="58" customWidth="1"/>
    <col min="7" max="7" width="49" customWidth="1"/>
    <col min="8" max="8" width="34" customWidth="1"/>
    <col min="9" max="9" width="38" customWidth="1"/>
    <col min="10" max="10" width="20" customWidth="1"/>
    <col min="11" max="11" width="12" customWidth="1"/>
    <col min="12" max="12" width="24" customWidth="1"/>
  </cols>
  <sheetData>
    <row r="1" spans="1:12" ht="31.5" customHeight="1" x14ac:dyDescent="0.15">
      <c r="A1" s="1" t="s">
        <v>1616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spans="1:12" ht="43.5" customHeight="1" x14ac:dyDescent="0.15">
      <c r="A3" s="74" t="s">
        <v>1617</v>
      </c>
      <c r="B3" s="74"/>
      <c r="C3" s="74"/>
      <c r="D3" s="74"/>
      <c r="E3" s="74"/>
      <c r="F3" s="74"/>
      <c r="G3" s="74"/>
      <c r="H3" s="74"/>
      <c r="I3" s="74"/>
      <c r="J3" s="74"/>
      <c r="K3" s="74"/>
      <c r="L3" s="74"/>
    </row>
    <row r="4" spans="1:12" ht="43.5" customHeight="1" x14ac:dyDescent="0.15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</row>
    <row r="6" spans="1:12" ht="54.75" customHeight="1" x14ac:dyDescent="0.15">
      <c r="A6" s="75" t="s">
        <v>2671</v>
      </c>
      <c r="B6" s="75"/>
      <c r="C6" s="75"/>
      <c r="D6" s="75"/>
      <c r="E6" s="75" t="s">
        <v>1618</v>
      </c>
      <c r="F6" s="75"/>
      <c r="G6" s="75"/>
      <c r="H6" s="75"/>
      <c r="I6" s="75" t="s">
        <v>1619</v>
      </c>
      <c r="J6" s="75"/>
      <c r="K6" s="75"/>
      <c r="L6" s="75"/>
    </row>
    <row r="7" spans="1:12" ht="54.75" customHeight="1" x14ac:dyDescent="0.15">
      <c r="A7" s="75"/>
      <c r="B7" s="75"/>
      <c r="C7" s="75"/>
      <c r="D7" s="75"/>
      <c r="E7" s="75"/>
      <c r="F7" s="75"/>
      <c r="G7" s="75"/>
      <c r="H7" s="75"/>
      <c r="I7" s="75"/>
      <c r="J7" s="75"/>
      <c r="K7" s="75"/>
      <c r="L7" s="75"/>
    </row>
    <row r="9" spans="1:12" ht="33.75" customHeight="1" x14ac:dyDescent="0.15">
      <c r="A9" s="49" t="s">
        <v>61</v>
      </c>
      <c r="B9" s="49" t="s">
        <v>63</v>
      </c>
      <c r="C9" s="49" t="s">
        <v>1620</v>
      </c>
      <c r="D9" s="49" t="s">
        <v>1621</v>
      </c>
      <c r="E9" s="49" t="s">
        <v>1622</v>
      </c>
      <c r="F9" s="49" t="s">
        <v>1623</v>
      </c>
      <c r="G9" s="49" t="s">
        <v>1624</v>
      </c>
      <c r="H9" s="49" t="s">
        <v>1625</v>
      </c>
      <c r="I9" s="49" t="s">
        <v>1626</v>
      </c>
      <c r="J9" s="49" t="s">
        <v>1627</v>
      </c>
      <c r="K9" s="49" t="s">
        <v>1628</v>
      </c>
      <c r="L9" s="49" t="s">
        <v>71</v>
      </c>
    </row>
    <row r="10" spans="1:12" ht="409.6" customHeight="1" x14ac:dyDescent="0.15">
      <c r="A10" s="50" t="s">
        <v>1311</v>
      </c>
      <c r="B10" s="51" t="s">
        <v>777</v>
      </c>
      <c r="C10" s="52" t="s">
        <v>1629</v>
      </c>
      <c r="D10" s="52" t="s">
        <v>1630</v>
      </c>
      <c r="E10" s="52" t="s">
        <v>2672</v>
      </c>
      <c r="F10" s="79" t="s">
        <v>2673</v>
      </c>
      <c r="G10" s="52" t="s">
        <v>2674</v>
      </c>
      <c r="H10" s="52" t="s">
        <v>2675</v>
      </c>
      <c r="I10" s="52" t="s">
        <v>2676</v>
      </c>
      <c r="J10" s="52" t="s">
        <v>1631</v>
      </c>
      <c r="K10" s="53" t="s">
        <v>1632</v>
      </c>
      <c r="L10" s="52"/>
    </row>
    <row r="11" spans="1:12" ht="252" customHeight="1" x14ac:dyDescent="0.15">
      <c r="A11" s="50" t="s">
        <v>1314</v>
      </c>
      <c r="B11" s="51" t="s">
        <v>777</v>
      </c>
      <c r="C11" s="52" t="s">
        <v>1633</v>
      </c>
      <c r="D11" s="52" t="s">
        <v>1634</v>
      </c>
      <c r="E11" s="52" t="s">
        <v>2677</v>
      </c>
      <c r="F11" s="78" t="s">
        <v>2854</v>
      </c>
      <c r="G11" s="52" t="s">
        <v>2678</v>
      </c>
      <c r="H11" s="52" t="s">
        <v>1635</v>
      </c>
      <c r="I11" s="52" t="s">
        <v>2679</v>
      </c>
      <c r="J11" s="52" t="s">
        <v>1631</v>
      </c>
      <c r="K11" s="53" t="s">
        <v>1632</v>
      </c>
      <c r="L11" s="52"/>
    </row>
    <row r="12" spans="1:12" ht="282.75" customHeight="1" x14ac:dyDescent="0.15">
      <c r="A12" s="50" t="s">
        <v>1315</v>
      </c>
      <c r="B12" s="51" t="s">
        <v>777</v>
      </c>
      <c r="C12" s="52" t="s">
        <v>1636</v>
      </c>
      <c r="D12" s="52" t="s">
        <v>1637</v>
      </c>
      <c r="E12" s="52" t="s">
        <v>1638</v>
      </c>
      <c r="F12" s="52" t="s">
        <v>1639</v>
      </c>
      <c r="G12" s="52" t="s">
        <v>1640</v>
      </c>
      <c r="H12" s="52" t="s">
        <v>1641</v>
      </c>
      <c r="I12" s="52" t="s">
        <v>1642</v>
      </c>
      <c r="J12" s="52" t="s">
        <v>1631</v>
      </c>
      <c r="K12" s="53" t="s">
        <v>1632</v>
      </c>
      <c r="L12" s="52"/>
    </row>
    <row r="13" spans="1:12" ht="216" customHeight="1" x14ac:dyDescent="0.15">
      <c r="A13" s="50" t="s">
        <v>1316</v>
      </c>
      <c r="B13" s="51" t="s">
        <v>777</v>
      </c>
      <c r="C13" s="52" t="s">
        <v>1643</v>
      </c>
      <c r="D13" s="52" t="s">
        <v>2680</v>
      </c>
      <c r="E13" s="52" t="s">
        <v>2681</v>
      </c>
      <c r="F13" s="52" t="s">
        <v>1644</v>
      </c>
      <c r="G13" s="52" t="s">
        <v>2682</v>
      </c>
      <c r="H13" s="52" t="s">
        <v>1645</v>
      </c>
      <c r="I13" s="52" t="s">
        <v>2683</v>
      </c>
      <c r="J13" s="52" t="s">
        <v>1631</v>
      </c>
      <c r="K13" s="53" t="s">
        <v>1632</v>
      </c>
      <c r="L13" s="52"/>
    </row>
    <row r="14" spans="1:12" ht="258" customHeight="1" x14ac:dyDescent="0.15">
      <c r="A14" s="50" t="s">
        <v>1317</v>
      </c>
      <c r="B14" s="51" t="s">
        <v>777</v>
      </c>
      <c r="C14" s="52" t="s">
        <v>1646</v>
      </c>
      <c r="D14" s="52" t="s">
        <v>1647</v>
      </c>
      <c r="E14" s="52" t="s">
        <v>1648</v>
      </c>
      <c r="F14" s="52" t="s">
        <v>1649</v>
      </c>
      <c r="G14" s="52" t="s">
        <v>1650</v>
      </c>
      <c r="H14" s="52" t="s">
        <v>1651</v>
      </c>
      <c r="I14" s="52" t="s">
        <v>1652</v>
      </c>
      <c r="J14" s="52" t="s">
        <v>1653</v>
      </c>
      <c r="K14" s="53" t="s">
        <v>1632</v>
      </c>
      <c r="L14" s="52"/>
    </row>
    <row r="15" spans="1:12" ht="282.75" customHeight="1" x14ac:dyDescent="0.15">
      <c r="A15" s="50" t="s">
        <v>1318</v>
      </c>
      <c r="B15" s="51" t="s">
        <v>777</v>
      </c>
      <c r="C15" s="52" t="s">
        <v>1654</v>
      </c>
      <c r="D15" s="52" t="s">
        <v>1655</v>
      </c>
      <c r="E15" s="52" t="s">
        <v>1656</v>
      </c>
      <c r="F15" s="52" t="s">
        <v>1657</v>
      </c>
      <c r="G15" s="52" t="s">
        <v>1658</v>
      </c>
      <c r="H15" s="52" t="s">
        <v>1659</v>
      </c>
      <c r="I15" s="52" t="s">
        <v>1660</v>
      </c>
      <c r="J15" s="52" t="s">
        <v>1653</v>
      </c>
      <c r="K15" s="53" t="s">
        <v>1632</v>
      </c>
      <c r="L15" s="52"/>
    </row>
    <row r="16" spans="1:12" ht="270" customHeight="1" x14ac:dyDescent="0.15">
      <c r="A16" s="50" t="s">
        <v>1319</v>
      </c>
      <c r="B16" s="51" t="s">
        <v>777</v>
      </c>
      <c r="C16" s="52" t="s">
        <v>1661</v>
      </c>
      <c r="D16" s="52" t="s">
        <v>1662</v>
      </c>
      <c r="E16" s="52" t="s">
        <v>1663</v>
      </c>
      <c r="F16" s="52" t="s">
        <v>1664</v>
      </c>
      <c r="G16" s="52" t="s">
        <v>1665</v>
      </c>
      <c r="H16" s="52" t="s">
        <v>800</v>
      </c>
      <c r="I16" s="52" t="s">
        <v>1666</v>
      </c>
      <c r="J16" s="52" t="s">
        <v>1653</v>
      </c>
      <c r="K16" s="53" t="s">
        <v>1632</v>
      </c>
      <c r="L16" s="52"/>
    </row>
    <row r="17" spans="1:12" ht="300" customHeight="1" x14ac:dyDescent="0.15">
      <c r="A17" s="50" t="s">
        <v>1320</v>
      </c>
      <c r="B17" s="51" t="s">
        <v>777</v>
      </c>
      <c r="C17" s="52" t="s">
        <v>1667</v>
      </c>
      <c r="D17" s="52" t="s">
        <v>1668</v>
      </c>
      <c r="E17" s="52" t="s">
        <v>2684</v>
      </c>
      <c r="F17" s="52" t="s">
        <v>1669</v>
      </c>
      <c r="G17" s="52" t="s">
        <v>2685</v>
      </c>
      <c r="H17" s="52" t="s">
        <v>2686</v>
      </c>
      <c r="I17" s="52" t="s">
        <v>2687</v>
      </c>
      <c r="J17" s="52" t="s">
        <v>1653</v>
      </c>
      <c r="K17" s="53" t="s">
        <v>1632</v>
      </c>
      <c r="L17" s="52"/>
    </row>
    <row r="18" spans="1:12" ht="96" customHeight="1" x14ac:dyDescent="0.15">
      <c r="A18" s="50" t="s">
        <v>1321</v>
      </c>
      <c r="B18" s="51" t="s">
        <v>777</v>
      </c>
      <c r="C18" s="52" t="s">
        <v>1670</v>
      </c>
      <c r="D18" s="52" t="s">
        <v>1671</v>
      </c>
      <c r="E18" s="52" t="s">
        <v>1672</v>
      </c>
      <c r="F18" s="52" t="s">
        <v>1673</v>
      </c>
      <c r="G18" s="52" t="s">
        <v>1674</v>
      </c>
      <c r="H18" s="52" t="s">
        <v>1675</v>
      </c>
      <c r="I18" s="52" t="s">
        <v>1676</v>
      </c>
      <c r="J18" s="52" t="s">
        <v>1677</v>
      </c>
      <c r="K18" s="53" t="s">
        <v>1632</v>
      </c>
      <c r="L18" s="52"/>
    </row>
    <row r="19" spans="1:12" ht="96" customHeight="1" x14ac:dyDescent="0.15">
      <c r="A19" s="50" t="s">
        <v>1322</v>
      </c>
      <c r="B19" s="51" t="s">
        <v>777</v>
      </c>
      <c r="C19" s="52" t="s">
        <v>1678</v>
      </c>
      <c r="D19" s="52" t="s">
        <v>1679</v>
      </c>
      <c r="E19" s="52" t="s">
        <v>1680</v>
      </c>
      <c r="F19" s="52" t="s">
        <v>1681</v>
      </c>
      <c r="G19" s="52" t="s">
        <v>1682</v>
      </c>
      <c r="H19" s="52" t="s">
        <v>811</v>
      </c>
      <c r="I19" s="52" t="s">
        <v>1683</v>
      </c>
      <c r="J19" s="52" t="s">
        <v>1684</v>
      </c>
      <c r="K19" s="53" t="s">
        <v>1632</v>
      </c>
      <c r="L19" s="52"/>
    </row>
    <row r="20" spans="1:12" ht="96" customHeight="1" x14ac:dyDescent="0.15">
      <c r="A20" s="50" t="s">
        <v>1323</v>
      </c>
      <c r="B20" s="51" t="s">
        <v>777</v>
      </c>
      <c r="C20" s="52" t="s">
        <v>1685</v>
      </c>
      <c r="D20" s="52" t="s">
        <v>1686</v>
      </c>
      <c r="E20" s="52" t="s">
        <v>1687</v>
      </c>
      <c r="F20" s="52" t="s">
        <v>1688</v>
      </c>
      <c r="G20" s="52" t="s">
        <v>1689</v>
      </c>
      <c r="H20" s="52" t="s">
        <v>1690</v>
      </c>
      <c r="I20" s="52" t="s">
        <v>1691</v>
      </c>
      <c r="J20" s="52" t="s">
        <v>1692</v>
      </c>
      <c r="K20" s="53" t="s">
        <v>1632</v>
      </c>
      <c r="L20" s="52"/>
    </row>
    <row r="21" spans="1:12" ht="96" customHeight="1" x14ac:dyDescent="0.15">
      <c r="A21" s="50" t="s">
        <v>1324</v>
      </c>
      <c r="B21" s="51" t="s">
        <v>777</v>
      </c>
      <c r="C21" s="52" t="s">
        <v>1693</v>
      </c>
      <c r="D21" s="52" t="s">
        <v>1694</v>
      </c>
      <c r="E21" s="52" t="s">
        <v>1695</v>
      </c>
      <c r="F21" s="52" t="s">
        <v>1696</v>
      </c>
      <c r="G21" s="52" t="s">
        <v>1697</v>
      </c>
      <c r="H21" s="52" t="s">
        <v>1698</v>
      </c>
      <c r="I21" s="52" t="s">
        <v>1699</v>
      </c>
      <c r="J21" s="52" t="s">
        <v>1692</v>
      </c>
      <c r="K21" s="53" t="s">
        <v>1632</v>
      </c>
      <c r="L21" s="52"/>
    </row>
    <row r="22" spans="1:12" ht="357.75" customHeight="1" x14ac:dyDescent="0.15">
      <c r="A22" s="50" t="s">
        <v>1325</v>
      </c>
      <c r="B22" s="51" t="s">
        <v>777</v>
      </c>
      <c r="C22" s="52" t="s">
        <v>1700</v>
      </c>
      <c r="D22" s="52" t="s">
        <v>1701</v>
      </c>
      <c r="E22" s="52" t="s">
        <v>1702</v>
      </c>
      <c r="F22" s="52" t="s">
        <v>1703</v>
      </c>
      <c r="G22" s="52" t="s">
        <v>1704</v>
      </c>
      <c r="H22" s="52" t="s">
        <v>1705</v>
      </c>
      <c r="I22" s="52" t="s">
        <v>1706</v>
      </c>
      <c r="J22" s="52" t="s">
        <v>1707</v>
      </c>
      <c r="K22" s="53" t="s">
        <v>1632</v>
      </c>
      <c r="L22" s="52"/>
    </row>
    <row r="23" spans="1:12" ht="295.5" customHeight="1" x14ac:dyDescent="0.15">
      <c r="A23" s="50" t="s">
        <v>1326</v>
      </c>
      <c r="B23" s="51" t="s">
        <v>777</v>
      </c>
      <c r="C23" s="52" t="s">
        <v>1708</v>
      </c>
      <c r="D23" s="52" t="s">
        <v>1709</v>
      </c>
      <c r="E23" s="52" t="s">
        <v>1710</v>
      </c>
      <c r="F23" s="52" t="s">
        <v>1711</v>
      </c>
      <c r="G23" s="52" t="s">
        <v>1712</v>
      </c>
      <c r="H23" s="52" t="s">
        <v>1713</v>
      </c>
      <c r="I23" s="52" t="s">
        <v>1714</v>
      </c>
      <c r="J23" s="52" t="s">
        <v>1715</v>
      </c>
      <c r="K23" s="53" t="s">
        <v>1632</v>
      </c>
      <c r="L23" s="52"/>
    </row>
    <row r="24" spans="1:12" ht="320.25" customHeight="1" x14ac:dyDescent="0.15">
      <c r="A24" s="50" t="s">
        <v>1327</v>
      </c>
      <c r="B24" s="51" t="s">
        <v>777</v>
      </c>
      <c r="C24" s="52" t="s">
        <v>1716</v>
      </c>
      <c r="D24" s="52" t="s">
        <v>1717</v>
      </c>
      <c r="E24" s="52" t="s">
        <v>1718</v>
      </c>
      <c r="F24" s="52" t="s">
        <v>1719</v>
      </c>
      <c r="G24" s="52" t="s">
        <v>1720</v>
      </c>
      <c r="H24" s="52" t="s">
        <v>1721</v>
      </c>
      <c r="I24" s="52" t="s">
        <v>1722</v>
      </c>
      <c r="J24" s="52" t="s">
        <v>1723</v>
      </c>
      <c r="K24" s="53" t="s">
        <v>1632</v>
      </c>
      <c r="L24" s="52"/>
    </row>
    <row r="25" spans="1:12" ht="307.5" customHeight="1" x14ac:dyDescent="0.15">
      <c r="A25" s="50" t="s">
        <v>1328</v>
      </c>
      <c r="B25" s="51" t="s">
        <v>777</v>
      </c>
      <c r="C25" s="52" t="s">
        <v>1724</v>
      </c>
      <c r="D25" s="52" t="s">
        <v>1725</v>
      </c>
      <c r="E25" s="52" t="s">
        <v>1726</v>
      </c>
      <c r="F25" s="52" t="s">
        <v>1727</v>
      </c>
      <c r="G25" s="52" t="s">
        <v>1728</v>
      </c>
      <c r="H25" s="52" t="s">
        <v>1729</v>
      </c>
      <c r="I25" s="52" t="s">
        <v>1730</v>
      </c>
      <c r="J25" s="52" t="s">
        <v>1731</v>
      </c>
      <c r="K25" s="53" t="s">
        <v>1632</v>
      </c>
      <c r="L25" s="52"/>
    </row>
    <row r="26" spans="1:12" ht="96" customHeight="1" x14ac:dyDescent="0.15">
      <c r="A26" s="50" t="s">
        <v>1329</v>
      </c>
      <c r="B26" s="51" t="s">
        <v>777</v>
      </c>
      <c r="C26" s="52" t="s">
        <v>1732</v>
      </c>
      <c r="D26" s="52" t="s">
        <v>1733</v>
      </c>
      <c r="E26" s="52" t="s">
        <v>1734</v>
      </c>
      <c r="F26" s="52" t="s">
        <v>1735</v>
      </c>
      <c r="G26" s="52" t="s">
        <v>1736</v>
      </c>
      <c r="H26" s="52" t="s">
        <v>1737</v>
      </c>
      <c r="I26" s="52" t="s">
        <v>1738</v>
      </c>
      <c r="J26" s="52" t="s">
        <v>1739</v>
      </c>
      <c r="K26" s="53" t="s">
        <v>1632</v>
      </c>
      <c r="L26" s="52"/>
    </row>
    <row r="27" spans="1:12" ht="295.5" customHeight="1" x14ac:dyDescent="0.15">
      <c r="A27" s="50" t="s">
        <v>1330</v>
      </c>
      <c r="B27" s="51" t="s">
        <v>777</v>
      </c>
      <c r="C27" s="52" t="s">
        <v>1740</v>
      </c>
      <c r="D27" s="52" t="s">
        <v>1741</v>
      </c>
      <c r="E27" s="52" t="s">
        <v>1742</v>
      </c>
      <c r="F27" s="52" t="s">
        <v>1743</v>
      </c>
      <c r="G27" s="52" t="s">
        <v>1744</v>
      </c>
      <c r="H27" s="52" t="s">
        <v>1745</v>
      </c>
      <c r="I27" s="52" t="s">
        <v>1746</v>
      </c>
      <c r="J27" s="52" t="s">
        <v>1747</v>
      </c>
      <c r="K27" s="53" t="s">
        <v>1632</v>
      </c>
      <c r="L27" s="52"/>
    </row>
    <row r="28" spans="1:12" ht="204" customHeight="1" x14ac:dyDescent="0.15">
      <c r="A28" s="50" t="s">
        <v>1331</v>
      </c>
      <c r="B28" s="51" t="s">
        <v>777</v>
      </c>
      <c r="C28" s="52" t="s">
        <v>1748</v>
      </c>
      <c r="D28" s="52" t="s">
        <v>1749</v>
      </c>
      <c r="E28" s="52" t="s">
        <v>2688</v>
      </c>
      <c r="F28" s="52" t="s">
        <v>1750</v>
      </c>
      <c r="G28" s="52" t="s">
        <v>2689</v>
      </c>
      <c r="H28" s="52" t="s">
        <v>2690</v>
      </c>
      <c r="I28" s="52" t="s">
        <v>2691</v>
      </c>
      <c r="J28" s="52" t="s">
        <v>1723</v>
      </c>
      <c r="K28" s="53" t="s">
        <v>1632</v>
      </c>
      <c r="L28" s="52"/>
    </row>
    <row r="29" spans="1:12" ht="96" customHeight="1" x14ac:dyDescent="0.15">
      <c r="A29" s="50" t="s">
        <v>1332</v>
      </c>
      <c r="B29" s="51" t="s">
        <v>777</v>
      </c>
      <c r="C29" s="52" t="s">
        <v>1751</v>
      </c>
      <c r="D29" s="52" t="s">
        <v>1752</v>
      </c>
      <c r="E29" s="52" t="s">
        <v>1753</v>
      </c>
      <c r="F29" s="52" t="s">
        <v>1754</v>
      </c>
      <c r="G29" s="52" t="s">
        <v>1755</v>
      </c>
      <c r="H29" s="52" t="s">
        <v>1756</v>
      </c>
      <c r="I29" s="52" t="s">
        <v>1757</v>
      </c>
      <c r="J29" s="52" t="s">
        <v>1758</v>
      </c>
      <c r="K29" s="53" t="s">
        <v>1632</v>
      </c>
      <c r="L29" s="52"/>
    </row>
    <row r="30" spans="1:12" ht="96" customHeight="1" x14ac:dyDescent="0.15">
      <c r="A30" s="50" t="s">
        <v>1333</v>
      </c>
      <c r="B30" s="51" t="s">
        <v>777</v>
      </c>
      <c r="C30" s="52" t="s">
        <v>1759</v>
      </c>
      <c r="D30" s="52" t="s">
        <v>1760</v>
      </c>
      <c r="E30" s="52" t="s">
        <v>1761</v>
      </c>
      <c r="F30" s="52" t="s">
        <v>1762</v>
      </c>
      <c r="G30" s="52" t="s">
        <v>1763</v>
      </c>
      <c r="H30" s="52" t="s">
        <v>1764</v>
      </c>
      <c r="I30" s="52" t="s">
        <v>1765</v>
      </c>
      <c r="J30" s="52" t="s">
        <v>1766</v>
      </c>
      <c r="K30" s="53" t="s">
        <v>1632</v>
      </c>
      <c r="L30" s="52"/>
    </row>
    <row r="31" spans="1:12" ht="96" customHeight="1" x14ac:dyDescent="0.15">
      <c r="A31" s="50" t="s">
        <v>1334</v>
      </c>
      <c r="B31" s="51" t="s">
        <v>777</v>
      </c>
      <c r="C31" s="52" t="s">
        <v>1767</v>
      </c>
      <c r="D31" s="52" t="s">
        <v>1768</v>
      </c>
      <c r="E31" s="52" t="s">
        <v>1769</v>
      </c>
      <c r="F31" s="52" t="s">
        <v>1770</v>
      </c>
      <c r="G31" s="52" t="s">
        <v>1771</v>
      </c>
      <c r="H31" s="52" t="s">
        <v>1772</v>
      </c>
      <c r="I31" s="52" t="s">
        <v>1773</v>
      </c>
      <c r="J31" s="52" t="s">
        <v>1774</v>
      </c>
      <c r="K31" s="53" t="s">
        <v>1632</v>
      </c>
      <c r="L31" s="52"/>
    </row>
    <row r="32" spans="1:12" ht="96" customHeight="1" x14ac:dyDescent="0.15">
      <c r="A32" s="50" t="s">
        <v>1335</v>
      </c>
      <c r="B32" s="51" t="s">
        <v>777</v>
      </c>
      <c r="C32" s="52" t="s">
        <v>1775</v>
      </c>
      <c r="D32" s="52" t="s">
        <v>1776</v>
      </c>
      <c r="E32" s="52" t="s">
        <v>1777</v>
      </c>
      <c r="F32" s="52" t="s">
        <v>1778</v>
      </c>
      <c r="G32" s="52" t="s">
        <v>1779</v>
      </c>
      <c r="H32" s="52" t="s">
        <v>1780</v>
      </c>
      <c r="I32" s="52" t="s">
        <v>1781</v>
      </c>
      <c r="J32" s="52" t="s">
        <v>1731</v>
      </c>
      <c r="K32" s="53" t="s">
        <v>1632</v>
      </c>
      <c r="L32" s="52"/>
    </row>
    <row r="33" spans="1:12" ht="96" customHeight="1" x14ac:dyDescent="0.15">
      <c r="A33" s="50" t="s">
        <v>1336</v>
      </c>
      <c r="B33" s="51" t="s">
        <v>777</v>
      </c>
      <c r="C33" s="52" t="s">
        <v>1782</v>
      </c>
      <c r="D33" s="52" t="s">
        <v>1783</v>
      </c>
      <c r="E33" s="52" t="s">
        <v>1784</v>
      </c>
      <c r="F33" s="52" t="s">
        <v>1785</v>
      </c>
      <c r="G33" s="52" t="s">
        <v>1786</v>
      </c>
      <c r="H33" s="52" t="s">
        <v>1787</v>
      </c>
      <c r="I33" s="52" t="s">
        <v>1788</v>
      </c>
      <c r="J33" s="52" t="s">
        <v>1789</v>
      </c>
      <c r="K33" s="53" t="s">
        <v>1632</v>
      </c>
      <c r="L33" s="52"/>
    </row>
    <row r="34" spans="1:12" ht="96" customHeight="1" x14ac:dyDescent="0.15">
      <c r="A34" s="50" t="s">
        <v>1337</v>
      </c>
      <c r="B34" s="51" t="s">
        <v>777</v>
      </c>
      <c r="C34" s="52" t="s">
        <v>1790</v>
      </c>
      <c r="D34" s="52" t="s">
        <v>1791</v>
      </c>
      <c r="E34" s="52" t="s">
        <v>1792</v>
      </c>
      <c r="F34" s="52" t="s">
        <v>1793</v>
      </c>
      <c r="G34" s="52" t="s">
        <v>1794</v>
      </c>
      <c r="H34" s="52" t="s">
        <v>1795</v>
      </c>
      <c r="I34" s="52" t="s">
        <v>1796</v>
      </c>
      <c r="J34" s="52" t="s">
        <v>1797</v>
      </c>
      <c r="K34" s="53" t="s">
        <v>1632</v>
      </c>
      <c r="L34" s="52"/>
    </row>
    <row r="35" spans="1:12" ht="108" customHeight="1" x14ac:dyDescent="0.15">
      <c r="A35" s="50" t="s">
        <v>1338</v>
      </c>
      <c r="B35" s="51" t="s">
        <v>777</v>
      </c>
      <c r="C35" s="52" t="s">
        <v>1798</v>
      </c>
      <c r="D35" s="52" t="s">
        <v>2692</v>
      </c>
      <c r="E35" s="52" t="s">
        <v>2693</v>
      </c>
      <c r="F35" s="52" t="s">
        <v>1799</v>
      </c>
      <c r="G35" s="52" t="s">
        <v>2694</v>
      </c>
      <c r="H35" s="52" t="s">
        <v>2695</v>
      </c>
      <c r="I35" s="52" t="s">
        <v>2696</v>
      </c>
      <c r="J35" s="52" t="s">
        <v>1800</v>
      </c>
      <c r="K35" s="53" t="s">
        <v>1632</v>
      </c>
      <c r="L35" s="52"/>
    </row>
    <row r="36" spans="1:12" ht="270" customHeight="1" x14ac:dyDescent="0.15">
      <c r="A36" s="50" t="s">
        <v>1339</v>
      </c>
      <c r="B36" s="54" t="s">
        <v>884</v>
      </c>
      <c r="C36" s="52" t="s">
        <v>1801</v>
      </c>
      <c r="D36" s="52" t="s">
        <v>1802</v>
      </c>
      <c r="E36" s="52" t="s">
        <v>1803</v>
      </c>
      <c r="F36" s="52" t="s">
        <v>1804</v>
      </c>
      <c r="G36" s="52" t="s">
        <v>1805</v>
      </c>
      <c r="H36" s="52" t="s">
        <v>1806</v>
      </c>
      <c r="I36" s="52" t="s">
        <v>1807</v>
      </c>
      <c r="J36" s="52" t="s">
        <v>1808</v>
      </c>
      <c r="K36" s="53" t="s">
        <v>1632</v>
      </c>
      <c r="L36" s="52"/>
    </row>
    <row r="37" spans="1:12" ht="307.5" customHeight="1" x14ac:dyDescent="0.15">
      <c r="A37" s="50" t="s">
        <v>1340</v>
      </c>
      <c r="B37" s="54" t="s">
        <v>884</v>
      </c>
      <c r="C37" s="52" t="s">
        <v>1809</v>
      </c>
      <c r="D37" s="52" t="s">
        <v>1810</v>
      </c>
      <c r="E37" s="52" t="s">
        <v>1811</v>
      </c>
      <c r="F37" s="52" t="s">
        <v>1812</v>
      </c>
      <c r="G37" s="52" t="s">
        <v>1813</v>
      </c>
      <c r="H37" s="52" t="s">
        <v>1814</v>
      </c>
      <c r="I37" s="52" t="s">
        <v>1815</v>
      </c>
      <c r="J37" s="52" t="s">
        <v>1816</v>
      </c>
      <c r="K37" s="53" t="s">
        <v>1632</v>
      </c>
      <c r="L37" s="52"/>
    </row>
    <row r="38" spans="1:12" ht="245.25" customHeight="1" x14ac:dyDescent="0.15">
      <c r="A38" s="50" t="s">
        <v>1341</v>
      </c>
      <c r="B38" s="54" t="s">
        <v>884</v>
      </c>
      <c r="C38" s="52" t="s">
        <v>1817</v>
      </c>
      <c r="D38" s="52" t="s">
        <v>1818</v>
      </c>
      <c r="E38" s="52" t="s">
        <v>1819</v>
      </c>
      <c r="F38" s="52" t="s">
        <v>1820</v>
      </c>
      <c r="G38" s="52" t="s">
        <v>1821</v>
      </c>
      <c r="H38" s="52" t="s">
        <v>1822</v>
      </c>
      <c r="I38" s="52" t="s">
        <v>1823</v>
      </c>
      <c r="J38" s="52" t="s">
        <v>1816</v>
      </c>
      <c r="K38" s="53" t="s">
        <v>1632</v>
      </c>
      <c r="L38" s="52"/>
    </row>
    <row r="39" spans="1:12" ht="295.5" customHeight="1" x14ac:dyDescent="0.15">
      <c r="A39" s="50" t="s">
        <v>1342</v>
      </c>
      <c r="B39" s="54" t="s">
        <v>884</v>
      </c>
      <c r="C39" s="52" t="s">
        <v>1824</v>
      </c>
      <c r="D39" s="52" t="s">
        <v>1825</v>
      </c>
      <c r="E39" s="52" t="s">
        <v>1826</v>
      </c>
      <c r="F39" s="52" t="s">
        <v>1827</v>
      </c>
      <c r="G39" s="52" t="s">
        <v>1828</v>
      </c>
      <c r="H39" s="52" t="s">
        <v>1829</v>
      </c>
      <c r="I39" s="52" t="s">
        <v>1830</v>
      </c>
      <c r="J39" s="52" t="s">
        <v>1816</v>
      </c>
      <c r="K39" s="53" t="s">
        <v>1632</v>
      </c>
      <c r="L39" s="52"/>
    </row>
    <row r="40" spans="1:12" ht="96" customHeight="1" x14ac:dyDescent="0.15">
      <c r="A40" s="50" t="s">
        <v>1343</v>
      </c>
      <c r="B40" s="54" t="s">
        <v>884</v>
      </c>
      <c r="C40" s="52" t="s">
        <v>1831</v>
      </c>
      <c r="D40" s="52" t="s">
        <v>1832</v>
      </c>
      <c r="E40" s="52" t="s">
        <v>1833</v>
      </c>
      <c r="F40" s="52" t="s">
        <v>1834</v>
      </c>
      <c r="G40" s="52" t="s">
        <v>1835</v>
      </c>
      <c r="H40" s="52" t="s">
        <v>1836</v>
      </c>
      <c r="I40" s="52" t="s">
        <v>1837</v>
      </c>
      <c r="J40" s="52" t="s">
        <v>1816</v>
      </c>
      <c r="K40" s="53" t="s">
        <v>1632</v>
      </c>
      <c r="L40" s="52"/>
    </row>
    <row r="41" spans="1:12" ht="320.25" customHeight="1" x14ac:dyDescent="0.15">
      <c r="A41" s="50" t="s">
        <v>1344</v>
      </c>
      <c r="B41" s="54" t="s">
        <v>884</v>
      </c>
      <c r="C41" s="52" t="s">
        <v>906</v>
      </c>
      <c r="D41" s="52" t="s">
        <v>1838</v>
      </c>
      <c r="E41" s="52" t="s">
        <v>1839</v>
      </c>
      <c r="F41" s="52" t="s">
        <v>1840</v>
      </c>
      <c r="G41" s="52" t="s">
        <v>1841</v>
      </c>
      <c r="H41" s="52" t="s">
        <v>1842</v>
      </c>
      <c r="I41" s="52" t="s">
        <v>1843</v>
      </c>
      <c r="J41" s="52" t="s">
        <v>1844</v>
      </c>
      <c r="K41" s="53" t="s">
        <v>1632</v>
      </c>
      <c r="L41" s="52"/>
    </row>
    <row r="42" spans="1:12" ht="96" customHeight="1" x14ac:dyDescent="0.15">
      <c r="A42" s="50" t="s">
        <v>1345</v>
      </c>
      <c r="B42" s="54" t="s">
        <v>884</v>
      </c>
      <c r="C42" s="52" t="s">
        <v>1845</v>
      </c>
      <c r="D42" s="52" t="s">
        <v>1846</v>
      </c>
      <c r="E42" s="52" t="s">
        <v>1847</v>
      </c>
      <c r="F42" s="52" t="s">
        <v>1848</v>
      </c>
      <c r="G42" s="52" t="s">
        <v>1849</v>
      </c>
      <c r="H42" s="52" t="s">
        <v>1850</v>
      </c>
      <c r="I42" s="52" t="s">
        <v>1851</v>
      </c>
      <c r="J42" s="52" t="s">
        <v>1816</v>
      </c>
      <c r="K42" s="53" t="s">
        <v>1632</v>
      </c>
      <c r="L42" s="52"/>
    </row>
    <row r="43" spans="1:12" ht="96" customHeight="1" x14ac:dyDescent="0.15">
      <c r="A43" s="50" t="s">
        <v>1346</v>
      </c>
      <c r="B43" s="54" t="s">
        <v>884</v>
      </c>
      <c r="C43" s="52" t="s">
        <v>1852</v>
      </c>
      <c r="D43" s="52" t="s">
        <v>1853</v>
      </c>
      <c r="E43" s="52" t="s">
        <v>1854</v>
      </c>
      <c r="F43" s="52" t="s">
        <v>1855</v>
      </c>
      <c r="G43" s="52" t="s">
        <v>1856</v>
      </c>
      <c r="H43" s="52" t="s">
        <v>1857</v>
      </c>
      <c r="I43" s="52" t="s">
        <v>1858</v>
      </c>
      <c r="J43" s="52" t="s">
        <v>1859</v>
      </c>
      <c r="K43" s="53" t="s">
        <v>1632</v>
      </c>
      <c r="L43" s="52"/>
    </row>
    <row r="44" spans="1:12" ht="96" customHeight="1" x14ac:dyDescent="0.15">
      <c r="A44" s="50" t="s">
        <v>1347</v>
      </c>
      <c r="B44" s="54" t="s">
        <v>884</v>
      </c>
      <c r="C44" s="52" t="s">
        <v>1860</v>
      </c>
      <c r="D44" s="52" t="s">
        <v>1861</v>
      </c>
      <c r="E44" s="52" t="s">
        <v>1862</v>
      </c>
      <c r="F44" s="52" t="s">
        <v>1863</v>
      </c>
      <c r="G44" s="52" t="s">
        <v>1864</v>
      </c>
      <c r="H44" s="52" t="s">
        <v>1865</v>
      </c>
      <c r="I44" s="52" t="s">
        <v>1866</v>
      </c>
      <c r="J44" s="52" t="s">
        <v>1816</v>
      </c>
      <c r="K44" s="53" t="s">
        <v>1632</v>
      </c>
      <c r="L44" s="52"/>
    </row>
    <row r="45" spans="1:12" ht="96" customHeight="1" x14ac:dyDescent="0.15">
      <c r="A45" s="50" t="s">
        <v>1348</v>
      </c>
      <c r="B45" s="54" t="s">
        <v>884</v>
      </c>
      <c r="C45" s="52" t="s">
        <v>1867</v>
      </c>
      <c r="D45" s="52" t="s">
        <v>1868</v>
      </c>
      <c r="E45" s="52" t="s">
        <v>1869</v>
      </c>
      <c r="F45" s="52" t="s">
        <v>1870</v>
      </c>
      <c r="G45" s="52" t="s">
        <v>1871</v>
      </c>
      <c r="H45" s="52" t="s">
        <v>1872</v>
      </c>
      <c r="I45" s="52" t="s">
        <v>1873</v>
      </c>
      <c r="J45" s="52" t="s">
        <v>1816</v>
      </c>
      <c r="K45" s="53" t="s">
        <v>1632</v>
      </c>
      <c r="L45" s="52"/>
    </row>
    <row r="46" spans="1:12" ht="96" customHeight="1" x14ac:dyDescent="0.15">
      <c r="A46" s="50" t="s">
        <v>1349</v>
      </c>
      <c r="B46" s="54" t="s">
        <v>884</v>
      </c>
      <c r="C46" s="52" t="s">
        <v>1874</v>
      </c>
      <c r="D46" s="52" t="s">
        <v>1875</v>
      </c>
      <c r="E46" s="52" t="s">
        <v>1876</v>
      </c>
      <c r="F46" s="52" t="s">
        <v>1877</v>
      </c>
      <c r="G46" s="52" t="s">
        <v>1878</v>
      </c>
      <c r="H46" s="52" t="s">
        <v>1879</v>
      </c>
      <c r="I46" s="52" t="s">
        <v>1880</v>
      </c>
      <c r="J46" s="52" t="s">
        <v>1816</v>
      </c>
      <c r="K46" s="53" t="s">
        <v>1632</v>
      </c>
      <c r="L46" s="52"/>
    </row>
    <row r="47" spans="1:12" ht="96" customHeight="1" x14ac:dyDescent="0.15">
      <c r="A47" s="50" t="s">
        <v>1350</v>
      </c>
      <c r="B47" s="54" t="s">
        <v>884</v>
      </c>
      <c r="C47" s="52" t="s">
        <v>926</v>
      </c>
      <c r="D47" s="52" t="s">
        <v>1881</v>
      </c>
      <c r="E47" s="52" t="s">
        <v>1882</v>
      </c>
      <c r="F47" s="52" t="s">
        <v>1883</v>
      </c>
      <c r="G47" s="52" t="s">
        <v>1884</v>
      </c>
      <c r="H47" s="52" t="s">
        <v>927</v>
      </c>
      <c r="I47" s="52" t="s">
        <v>1885</v>
      </c>
      <c r="J47" s="52" t="s">
        <v>1844</v>
      </c>
      <c r="K47" s="53" t="s">
        <v>1632</v>
      </c>
      <c r="L47" s="52"/>
    </row>
    <row r="48" spans="1:12" ht="207.75" customHeight="1" x14ac:dyDescent="0.15">
      <c r="A48" s="50" t="s">
        <v>1351</v>
      </c>
      <c r="B48" s="54" t="s">
        <v>884</v>
      </c>
      <c r="C48" s="52" t="s">
        <v>1886</v>
      </c>
      <c r="D48" s="52" t="s">
        <v>1887</v>
      </c>
      <c r="E48" s="52" t="s">
        <v>1888</v>
      </c>
      <c r="F48" s="52" t="s">
        <v>1889</v>
      </c>
      <c r="G48" s="52" t="s">
        <v>1890</v>
      </c>
      <c r="H48" s="52" t="s">
        <v>1891</v>
      </c>
      <c r="I48" s="52" t="s">
        <v>1892</v>
      </c>
      <c r="J48" s="52" t="s">
        <v>1893</v>
      </c>
      <c r="K48" s="53" t="s">
        <v>1632</v>
      </c>
      <c r="L48" s="52"/>
    </row>
    <row r="49" spans="1:12" ht="96" customHeight="1" x14ac:dyDescent="0.15">
      <c r="A49" s="50" t="s">
        <v>1352</v>
      </c>
      <c r="B49" s="54" t="s">
        <v>884</v>
      </c>
      <c r="C49" s="52" t="s">
        <v>1894</v>
      </c>
      <c r="D49" s="52" t="s">
        <v>1895</v>
      </c>
      <c r="E49" s="52" t="s">
        <v>2697</v>
      </c>
      <c r="F49" s="52" t="s">
        <v>1896</v>
      </c>
      <c r="G49" s="52" t="s">
        <v>2698</v>
      </c>
      <c r="H49" s="52" t="s">
        <v>1897</v>
      </c>
      <c r="I49" s="52" t="s">
        <v>1898</v>
      </c>
      <c r="J49" s="52" t="s">
        <v>1893</v>
      </c>
      <c r="K49" s="53" t="s">
        <v>1632</v>
      </c>
      <c r="L49" s="52"/>
    </row>
    <row r="50" spans="1:12" ht="96" customHeight="1" x14ac:dyDescent="0.15">
      <c r="A50" s="50" t="s">
        <v>1353</v>
      </c>
      <c r="B50" s="54" t="s">
        <v>884</v>
      </c>
      <c r="C50" s="52" t="s">
        <v>939</v>
      </c>
      <c r="D50" s="52" t="s">
        <v>1899</v>
      </c>
      <c r="E50" s="52" t="s">
        <v>1900</v>
      </c>
      <c r="F50" s="52" t="s">
        <v>1901</v>
      </c>
      <c r="G50" s="52" t="s">
        <v>1902</v>
      </c>
      <c r="H50" s="52" t="s">
        <v>1903</v>
      </c>
      <c r="I50" s="52" t="s">
        <v>1904</v>
      </c>
      <c r="J50" s="52" t="s">
        <v>1893</v>
      </c>
      <c r="K50" s="53" t="s">
        <v>1632</v>
      </c>
      <c r="L50" s="52"/>
    </row>
    <row r="51" spans="1:12" ht="220.5" customHeight="1" x14ac:dyDescent="0.15">
      <c r="A51" s="50" t="s">
        <v>1354</v>
      </c>
      <c r="B51" s="54" t="s">
        <v>884</v>
      </c>
      <c r="C51" s="52" t="s">
        <v>1905</v>
      </c>
      <c r="D51" s="52" t="s">
        <v>1906</v>
      </c>
      <c r="E51" s="52" t="s">
        <v>1907</v>
      </c>
      <c r="F51" s="52" t="s">
        <v>1908</v>
      </c>
      <c r="G51" s="52" t="s">
        <v>1909</v>
      </c>
      <c r="H51" s="52" t="s">
        <v>1910</v>
      </c>
      <c r="I51" s="52" t="s">
        <v>1911</v>
      </c>
      <c r="J51" s="52" t="s">
        <v>1893</v>
      </c>
      <c r="K51" s="53" t="s">
        <v>1632</v>
      </c>
      <c r="L51" s="52"/>
    </row>
    <row r="52" spans="1:12" ht="220.5" customHeight="1" x14ac:dyDescent="0.15">
      <c r="A52" s="50" t="s">
        <v>1355</v>
      </c>
      <c r="B52" s="54" t="s">
        <v>884</v>
      </c>
      <c r="C52" s="52" t="s">
        <v>1912</v>
      </c>
      <c r="D52" s="52" t="s">
        <v>1913</v>
      </c>
      <c r="E52" s="52" t="s">
        <v>1914</v>
      </c>
      <c r="F52" s="52" t="s">
        <v>1915</v>
      </c>
      <c r="G52" s="52" t="s">
        <v>1916</v>
      </c>
      <c r="H52" s="52" t="s">
        <v>1917</v>
      </c>
      <c r="I52" s="52" t="s">
        <v>1918</v>
      </c>
      <c r="J52" s="52" t="s">
        <v>1893</v>
      </c>
      <c r="K52" s="53" t="s">
        <v>1632</v>
      </c>
      <c r="L52" s="52"/>
    </row>
    <row r="53" spans="1:12" ht="96" customHeight="1" x14ac:dyDescent="0.15">
      <c r="A53" s="50" t="s">
        <v>1356</v>
      </c>
      <c r="B53" s="54" t="s">
        <v>884</v>
      </c>
      <c r="C53" s="52" t="s">
        <v>949</v>
      </c>
      <c r="D53" s="52" t="s">
        <v>1919</v>
      </c>
      <c r="E53" s="52" t="s">
        <v>1920</v>
      </c>
      <c r="F53" s="52" t="s">
        <v>1921</v>
      </c>
      <c r="G53" s="52" t="s">
        <v>1922</v>
      </c>
      <c r="H53" s="52" t="s">
        <v>1923</v>
      </c>
      <c r="I53" s="52" t="s">
        <v>1924</v>
      </c>
      <c r="J53" s="52" t="s">
        <v>1893</v>
      </c>
      <c r="K53" s="53" t="s">
        <v>1632</v>
      </c>
      <c r="L53" s="52"/>
    </row>
    <row r="54" spans="1:12" ht="96" customHeight="1" x14ac:dyDescent="0.15">
      <c r="A54" s="50" t="s">
        <v>1357</v>
      </c>
      <c r="B54" s="54" t="s">
        <v>884</v>
      </c>
      <c r="C54" s="52" t="s">
        <v>1925</v>
      </c>
      <c r="D54" s="52" t="s">
        <v>1926</v>
      </c>
      <c r="E54" s="52" t="s">
        <v>1927</v>
      </c>
      <c r="F54" s="52" t="s">
        <v>1928</v>
      </c>
      <c r="G54" s="52" t="s">
        <v>1929</v>
      </c>
      <c r="H54" s="52" t="s">
        <v>1930</v>
      </c>
      <c r="I54" s="52" t="s">
        <v>1931</v>
      </c>
      <c r="J54" s="52" t="s">
        <v>1932</v>
      </c>
      <c r="K54" s="53" t="s">
        <v>1632</v>
      </c>
      <c r="L54" s="52"/>
    </row>
    <row r="55" spans="1:12" ht="96" customHeight="1" x14ac:dyDescent="0.15">
      <c r="A55" s="50" t="s">
        <v>1358</v>
      </c>
      <c r="B55" s="54" t="s">
        <v>884</v>
      </c>
      <c r="C55" s="52" t="s">
        <v>1933</v>
      </c>
      <c r="D55" s="52" t="s">
        <v>1934</v>
      </c>
      <c r="E55" s="52" t="s">
        <v>1935</v>
      </c>
      <c r="F55" s="52" t="s">
        <v>1936</v>
      </c>
      <c r="G55" s="52" t="s">
        <v>1937</v>
      </c>
      <c r="H55" s="52" t="s">
        <v>1938</v>
      </c>
      <c r="I55" s="52" t="s">
        <v>1939</v>
      </c>
      <c r="J55" s="52" t="s">
        <v>1940</v>
      </c>
      <c r="K55" s="53" t="s">
        <v>1632</v>
      </c>
      <c r="L55" s="52"/>
    </row>
    <row r="56" spans="1:12" ht="192" customHeight="1" x14ac:dyDescent="0.15">
      <c r="A56" s="50" t="s">
        <v>1359</v>
      </c>
      <c r="B56" s="54" t="s">
        <v>884</v>
      </c>
      <c r="C56" s="52" t="s">
        <v>1941</v>
      </c>
      <c r="D56" s="52" t="s">
        <v>1942</v>
      </c>
      <c r="E56" s="52" t="s">
        <v>2699</v>
      </c>
      <c r="F56" s="52" t="s">
        <v>1943</v>
      </c>
      <c r="G56" s="52" t="s">
        <v>2700</v>
      </c>
      <c r="H56" s="52" t="s">
        <v>2701</v>
      </c>
      <c r="I56" s="52" t="s">
        <v>1944</v>
      </c>
      <c r="J56" s="52" t="s">
        <v>1945</v>
      </c>
      <c r="K56" s="53" t="s">
        <v>1632</v>
      </c>
      <c r="L56" s="52"/>
    </row>
    <row r="57" spans="1:12" ht="295.5" customHeight="1" x14ac:dyDescent="0.15">
      <c r="A57" s="50" t="s">
        <v>1360</v>
      </c>
      <c r="B57" s="54" t="s">
        <v>884</v>
      </c>
      <c r="C57" s="52" t="s">
        <v>1946</v>
      </c>
      <c r="D57" s="52" t="s">
        <v>1947</v>
      </c>
      <c r="E57" s="52" t="s">
        <v>1948</v>
      </c>
      <c r="F57" s="52" t="s">
        <v>1949</v>
      </c>
      <c r="G57" s="52" t="s">
        <v>1950</v>
      </c>
      <c r="H57" s="52" t="s">
        <v>1951</v>
      </c>
      <c r="I57" s="52" t="s">
        <v>1952</v>
      </c>
      <c r="J57" s="52" t="s">
        <v>1945</v>
      </c>
      <c r="K57" s="53" t="s">
        <v>1632</v>
      </c>
      <c r="L57" s="52"/>
    </row>
    <row r="58" spans="1:12" ht="216" customHeight="1" x14ac:dyDescent="0.15">
      <c r="A58" s="50" t="s">
        <v>1361</v>
      </c>
      <c r="B58" s="54" t="s">
        <v>884</v>
      </c>
      <c r="C58" s="52" t="s">
        <v>1953</v>
      </c>
      <c r="D58" s="52" t="s">
        <v>1954</v>
      </c>
      <c r="E58" s="52" t="s">
        <v>2702</v>
      </c>
      <c r="F58" s="52" t="s">
        <v>1955</v>
      </c>
      <c r="G58" s="52" t="s">
        <v>2703</v>
      </c>
      <c r="H58" s="52" t="s">
        <v>1956</v>
      </c>
      <c r="I58" s="52" t="s">
        <v>1957</v>
      </c>
      <c r="J58" s="52" t="s">
        <v>1958</v>
      </c>
      <c r="K58" s="53" t="s">
        <v>1632</v>
      </c>
      <c r="L58" s="52"/>
    </row>
    <row r="59" spans="1:12" ht="282.75" customHeight="1" x14ac:dyDescent="0.15">
      <c r="A59" s="50" t="s">
        <v>1362</v>
      </c>
      <c r="B59" s="54" t="s">
        <v>884</v>
      </c>
      <c r="C59" s="52" t="s">
        <v>1959</v>
      </c>
      <c r="D59" s="52" t="s">
        <v>1960</v>
      </c>
      <c r="E59" s="52" t="s">
        <v>1961</v>
      </c>
      <c r="F59" s="52" t="s">
        <v>1962</v>
      </c>
      <c r="G59" s="52" t="s">
        <v>1963</v>
      </c>
      <c r="H59" s="52" t="s">
        <v>1964</v>
      </c>
      <c r="I59" s="52" t="s">
        <v>1965</v>
      </c>
      <c r="J59" s="52" t="s">
        <v>1958</v>
      </c>
      <c r="K59" s="53" t="s">
        <v>1632</v>
      </c>
      <c r="L59" s="52"/>
    </row>
    <row r="60" spans="1:12" ht="216" customHeight="1" x14ac:dyDescent="0.15">
      <c r="A60" s="50" t="s">
        <v>1363</v>
      </c>
      <c r="B60" s="54" t="s">
        <v>884</v>
      </c>
      <c r="C60" s="52" t="s">
        <v>981</v>
      </c>
      <c r="D60" s="52" t="s">
        <v>1966</v>
      </c>
      <c r="E60" s="52" t="s">
        <v>2704</v>
      </c>
      <c r="F60" s="52" t="s">
        <v>1967</v>
      </c>
      <c r="G60" s="52" t="s">
        <v>2705</v>
      </c>
      <c r="H60" s="52" t="s">
        <v>1968</v>
      </c>
      <c r="I60" s="52" t="s">
        <v>1969</v>
      </c>
      <c r="J60" s="52" t="s">
        <v>1958</v>
      </c>
      <c r="K60" s="53" t="s">
        <v>1632</v>
      </c>
      <c r="L60" s="52"/>
    </row>
    <row r="61" spans="1:12" ht="232.5" customHeight="1" x14ac:dyDescent="0.15">
      <c r="A61" s="50" t="s">
        <v>1364</v>
      </c>
      <c r="B61" s="54" t="s">
        <v>884</v>
      </c>
      <c r="C61" s="52" t="s">
        <v>1970</v>
      </c>
      <c r="D61" s="52" t="s">
        <v>1971</v>
      </c>
      <c r="E61" s="52" t="s">
        <v>1972</v>
      </c>
      <c r="F61" s="52" t="s">
        <v>1973</v>
      </c>
      <c r="G61" s="52" t="s">
        <v>1974</v>
      </c>
      <c r="H61" s="52" t="s">
        <v>1975</v>
      </c>
      <c r="I61" s="52" t="s">
        <v>1976</v>
      </c>
      <c r="J61" s="52" t="s">
        <v>1958</v>
      </c>
      <c r="K61" s="53" t="s">
        <v>1632</v>
      </c>
      <c r="L61" s="52"/>
    </row>
    <row r="62" spans="1:12" ht="96" customHeight="1" x14ac:dyDescent="0.15">
      <c r="A62" s="50" t="s">
        <v>1365</v>
      </c>
      <c r="B62" s="54" t="s">
        <v>884</v>
      </c>
      <c r="C62" s="52" t="s">
        <v>1977</v>
      </c>
      <c r="D62" s="52" t="s">
        <v>1978</v>
      </c>
      <c r="E62" s="52" t="s">
        <v>1979</v>
      </c>
      <c r="F62" s="52" t="s">
        <v>1980</v>
      </c>
      <c r="G62" s="52" t="s">
        <v>1981</v>
      </c>
      <c r="H62" s="52" t="s">
        <v>1982</v>
      </c>
      <c r="I62" s="52" t="s">
        <v>1983</v>
      </c>
      <c r="J62" s="52" t="s">
        <v>1958</v>
      </c>
      <c r="K62" s="53" t="s">
        <v>1632</v>
      </c>
      <c r="L62" s="52"/>
    </row>
    <row r="63" spans="1:12" ht="96" customHeight="1" x14ac:dyDescent="0.15">
      <c r="A63" s="50" t="s">
        <v>1366</v>
      </c>
      <c r="B63" s="54" t="s">
        <v>884</v>
      </c>
      <c r="C63" s="52" t="s">
        <v>991</v>
      </c>
      <c r="D63" s="52" t="s">
        <v>1984</v>
      </c>
      <c r="E63" s="52" t="s">
        <v>1985</v>
      </c>
      <c r="F63" s="52" t="s">
        <v>1986</v>
      </c>
      <c r="G63" s="52" t="s">
        <v>1987</v>
      </c>
      <c r="H63" s="52" t="s">
        <v>1988</v>
      </c>
      <c r="I63" s="52" t="s">
        <v>1989</v>
      </c>
      <c r="J63" s="52" t="s">
        <v>1990</v>
      </c>
      <c r="K63" s="53" t="s">
        <v>1632</v>
      </c>
      <c r="L63" s="52"/>
    </row>
    <row r="64" spans="1:12" ht="270" customHeight="1" x14ac:dyDescent="0.15">
      <c r="A64" s="50" t="s">
        <v>1367</v>
      </c>
      <c r="B64" s="54" t="s">
        <v>884</v>
      </c>
      <c r="C64" s="52" t="s">
        <v>995</v>
      </c>
      <c r="D64" s="52" t="s">
        <v>1991</v>
      </c>
      <c r="E64" s="52" t="s">
        <v>1992</v>
      </c>
      <c r="F64" s="52" t="s">
        <v>1993</v>
      </c>
      <c r="G64" s="52" t="s">
        <v>1994</v>
      </c>
      <c r="H64" s="52" t="s">
        <v>1995</v>
      </c>
      <c r="I64" s="52" t="s">
        <v>1996</v>
      </c>
      <c r="J64" s="52" t="s">
        <v>1945</v>
      </c>
      <c r="K64" s="53" t="s">
        <v>1632</v>
      </c>
      <c r="L64" s="52"/>
    </row>
    <row r="65" spans="1:12" ht="258" customHeight="1" x14ac:dyDescent="0.15">
      <c r="A65" s="50" t="s">
        <v>1368</v>
      </c>
      <c r="B65" s="54" t="s">
        <v>884</v>
      </c>
      <c r="C65" s="52" t="s">
        <v>1997</v>
      </c>
      <c r="D65" s="52" t="s">
        <v>1998</v>
      </c>
      <c r="E65" s="52" t="s">
        <v>1999</v>
      </c>
      <c r="F65" s="52" t="s">
        <v>2000</v>
      </c>
      <c r="G65" s="52" t="s">
        <v>2001</v>
      </c>
      <c r="H65" s="52" t="s">
        <v>2002</v>
      </c>
      <c r="I65" s="52" t="s">
        <v>2003</v>
      </c>
      <c r="J65" s="52" t="s">
        <v>2004</v>
      </c>
      <c r="K65" s="53" t="s">
        <v>1632</v>
      </c>
      <c r="L65" s="52"/>
    </row>
    <row r="66" spans="1:12" ht="204" customHeight="1" x14ac:dyDescent="0.15">
      <c r="A66" s="50" t="s">
        <v>1369</v>
      </c>
      <c r="B66" s="54" t="s">
        <v>884</v>
      </c>
      <c r="C66" s="52" t="s">
        <v>2005</v>
      </c>
      <c r="D66" s="52" t="s">
        <v>2006</v>
      </c>
      <c r="E66" s="52" t="s">
        <v>2706</v>
      </c>
      <c r="F66" s="52" t="s">
        <v>2007</v>
      </c>
      <c r="G66" s="52" t="s">
        <v>2707</v>
      </c>
      <c r="H66" s="52" t="s">
        <v>2008</v>
      </c>
      <c r="I66" s="52" t="s">
        <v>2009</v>
      </c>
      <c r="J66" s="52" t="s">
        <v>1945</v>
      </c>
      <c r="K66" s="53" t="s">
        <v>1632</v>
      </c>
      <c r="L66" s="52"/>
    </row>
    <row r="67" spans="1:12" ht="96" customHeight="1" x14ac:dyDescent="0.15">
      <c r="A67" s="50" t="s">
        <v>1370</v>
      </c>
      <c r="B67" s="54" t="s">
        <v>884</v>
      </c>
      <c r="C67" s="52" t="s">
        <v>2010</v>
      </c>
      <c r="D67" s="52" t="s">
        <v>2011</v>
      </c>
      <c r="E67" s="52" t="s">
        <v>2012</v>
      </c>
      <c r="F67" s="52" t="s">
        <v>2013</v>
      </c>
      <c r="G67" s="52" t="s">
        <v>2014</v>
      </c>
      <c r="H67" s="52" t="s">
        <v>2015</v>
      </c>
      <c r="I67" s="52" t="s">
        <v>2016</v>
      </c>
      <c r="J67" s="52" t="s">
        <v>1893</v>
      </c>
      <c r="K67" s="53" t="s">
        <v>1632</v>
      </c>
      <c r="L67" s="52"/>
    </row>
    <row r="68" spans="1:12" ht="96" customHeight="1" x14ac:dyDescent="0.15">
      <c r="A68" s="50" t="s">
        <v>1371</v>
      </c>
      <c r="B68" s="54" t="s">
        <v>884</v>
      </c>
      <c r="C68" s="52" t="s">
        <v>2017</v>
      </c>
      <c r="D68" s="52" t="s">
        <v>2018</v>
      </c>
      <c r="E68" s="52" t="s">
        <v>2019</v>
      </c>
      <c r="F68" s="52" t="s">
        <v>2020</v>
      </c>
      <c r="G68" s="52" t="s">
        <v>2021</v>
      </c>
      <c r="H68" s="52" t="s">
        <v>2022</v>
      </c>
      <c r="I68" s="52" t="s">
        <v>2023</v>
      </c>
      <c r="J68" s="52" t="s">
        <v>2024</v>
      </c>
      <c r="K68" s="53" t="s">
        <v>1632</v>
      </c>
      <c r="L68" s="52"/>
    </row>
    <row r="69" spans="1:12" ht="96" customHeight="1" x14ac:dyDescent="0.15">
      <c r="A69" s="50" t="s">
        <v>1372</v>
      </c>
      <c r="B69" s="54" t="s">
        <v>884</v>
      </c>
      <c r="C69" s="52" t="s">
        <v>2025</v>
      </c>
      <c r="D69" s="52" t="s">
        <v>2026</v>
      </c>
      <c r="E69" s="52" t="s">
        <v>2027</v>
      </c>
      <c r="F69" s="52" t="s">
        <v>2028</v>
      </c>
      <c r="G69" s="52" t="s">
        <v>2029</v>
      </c>
      <c r="H69" s="52" t="s">
        <v>1015</v>
      </c>
      <c r="I69" s="52" t="s">
        <v>2030</v>
      </c>
      <c r="J69" s="52" t="s">
        <v>2031</v>
      </c>
      <c r="K69" s="53" t="s">
        <v>1632</v>
      </c>
      <c r="L69" s="52"/>
    </row>
    <row r="70" spans="1:12" ht="96" customHeight="1" x14ac:dyDescent="0.15">
      <c r="A70" s="50" t="s">
        <v>1373</v>
      </c>
      <c r="B70" s="54" t="s">
        <v>884</v>
      </c>
      <c r="C70" s="52" t="s">
        <v>2032</v>
      </c>
      <c r="D70" s="52" t="s">
        <v>2033</v>
      </c>
      <c r="E70" s="52" t="s">
        <v>2034</v>
      </c>
      <c r="F70" s="52" t="s">
        <v>2035</v>
      </c>
      <c r="G70" s="52" t="s">
        <v>2036</v>
      </c>
      <c r="H70" s="52" t="s">
        <v>2037</v>
      </c>
      <c r="I70" s="52" t="s">
        <v>2038</v>
      </c>
      <c r="J70" s="52" t="s">
        <v>2039</v>
      </c>
      <c r="K70" s="53" t="s">
        <v>1632</v>
      </c>
      <c r="L70" s="52"/>
    </row>
    <row r="71" spans="1:12" ht="96" customHeight="1" x14ac:dyDescent="0.15">
      <c r="A71" s="50" t="s">
        <v>1374</v>
      </c>
      <c r="B71" s="54" t="s">
        <v>884</v>
      </c>
      <c r="C71" s="52" t="s">
        <v>2040</v>
      </c>
      <c r="D71" s="52" t="s">
        <v>2041</v>
      </c>
      <c r="E71" s="52" t="s">
        <v>2042</v>
      </c>
      <c r="F71" s="52" t="s">
        <v>2043</v>
      </c>
      <c r="G71" s="52" t="s">
        <v>2044</v>
      </c>
      <c r="H71" s="52" t="s">
        <v>1024</v>
      </c>
      <c r="I71" s="52" t="s">
        <v>2045</v>
      </c>
      <c r="J71" s="52" t="s">
        <v>1940</v>
      </c>
      <c r="K71" s="53" t="s">
        <v>1632</v>
      </c>
      <c r="L71" s="52"/>
    </row>
    <row r="72" spans="1:12" ht="96" customHeight="1" x14ac:dyDescent="0.15">
      <c r="A72" s="50" t="s">
        <v>1375</v>
      </c>
      <c r="B72" s="54" t="s">
        <v>884</v>
      </c>
      <c r="C72" s="52" t="s">
        <v>2046</v>
      </c>
      <c r="D72" s="52" t="s">
        <v>2047</v>
      </c>
      <c r="E72" s="52" t="s">
        <v>2048</v>
      </c>
      <c r="F72" s="52" t="s">
        <v>2049</v>
      </c>
      <c r="G72" s="52" t="s">
        <v>2050</v>
      </c>
      <c r="H72" s="52" t="s">
        <v>2051</v>
      </c>
      <c r="I72" s="52" t="s">
        <v>2052</v>
      </c>
      <c r="J72" s="52" t="s">
        <v>2053</v>
      </c>
      <c r="K72" s="53" t="s">
        <v>1632</v>
      </c>
      <c r="L72" s="52"/>
    </row>
    <row r="73" spans="1:12" ht="96" customHeight="1" x14ac:dyDescent="0.15">
      <c r="A73" s="50" t="s">
        <v>1376</v>
      </c>
      <c r="B73" s="54" t="s">
        <v>884</v>
      </c>
      <c r="C73" s="52" t="s">
        <v>1029</v>
      </c>
      <c r="D73" s="52" t="s">
        <v>2054</v>
      </c>
      <c r="E73" s="52" t="s">
        <v>2055</v>
      </c>
      <c r="F73" s="52" t="s">
        <v>2056</v>
      </c>
      <c r="G73" s="52" t="s">
        <v>2057</v>
      </c>
      <c r="H73" s="52" t="s">
        <v>2058</v>
      </c>
      <c r="I73" s="52" t="s">
        <v>2059</v>
      </c>
      <c r="J73" s="52" t="s">
        <v>1653</v>
      </c>
      <c r="K73" s="53" t="s">
        <v>1632</v>
      </c>
      <c r="L73" s="52"/>
    </row>
    <row r="74" spans="1:12" ht="96" customHeight="1" x14ac:dyDescent="0.15">
      <c r="A74" s="50" t="s">
        <v>1377</v>
      </c>
      <c r="B74" s="54" t="s">
        <v>884</v>
      </c>
      <c r="C74" s="52" t="s">
        <v>1033</v>
      </c>
      <c r="D74" s="52" t="s">
        <v>2060</v>
      </c>
      <c r="E74" s="52" t="s">
        <v>2061</v>
      </c>
      <c r="F74" s="52" t="s">
        <v>2062</v>
      </c>
      <c r="G74" s="52" t="s">
        <v>2708</v>
      </c>
      <c r="H74" s="52" t="s">
        <v>1034</v>
      </c>
      <c r="I74" s="52" t="s">
        <v>2709</v>
      </c>
      <c r="J74" s="52" t="s">
        <v>2063</v>
      </c>
      <c r="K74" s="53" t="s">
        <v>1632</v>
      </c>
      <c r="L74" s="52"/>
    </row>
    <row r="75" spans="1:12" ht="96" customHeight="1" x14ac:dyDescent="0.15">
      <c r="A75" s="50" t="s">
        <v>1378</v>
      </c>
      <c r="B75" s="55" t="s">
        <v>1040</v>
      </c>
      <c r="C75" s="52" t="s">
        <v>2064</v>
      </c>
      <c r="D75" s="52" t="s">
        <v>2065</v>
      </c>
      <c r="E75" s="52" t="s">
        <v>2066</v>
      </c>
      <c r="F75" s="52" t="s">
        <v>2067</v>
      </c>
      <c r="G75" s="52" t="s">
        <v>2068</v>
      </c>
      <c r="H75" s="52" t="s">
        <v>2069</v>
      </c>
      <c r="I75" s="52" t="s">
        <v>2070</v>
      </c>
      <c r="J75" s="52" t="s">
        <v>1731</v>
      </c>
      <c r="K75" s="53" t="s">
        <v>1632</v>
      </c>
      <c r="L75" s="52"/>
    </row>
    <row r="76" spans="1:12" ht="96" customHeight="1" x14ac:dyDescent="0.15">
      <c r="A76" s="50" t="s">
        <v>1379</v>
      </c>
      <c r="B76" s="55" t="s">
        <v>1040</v>
      </c>
      <c r="C76" s="52" t="s">
        <v>2071</v>
      </c>
      <c r="D76" s="52" t="s">
        <v>2072</v>
      </c>
      <c r="E76" s="52" t="s">
        <v>2073</v>
      </c>
      <c r="F76" s="52" t="s">
        <v>2074</v>
      </c>
      <c r="G76" s="52" t="s">
        <v>2075</v>
      </c>
      <c r="H76" s="52" t="s">
        <v>2076</v>
      </c>
      <c r="I76" s="52" t="s">
        <v>2077</v>
      </c>
      <c r="J76" s="52" t="s">
        <v>2078</v>
      </c>
      <c r="K76" s="53" t="s">
        <v>1632</v>
      </c>
      <c r="L76" s="52"/>
    </row>
    <row r="77" spans="1:12" ht="96" customHeight="1" x14ac:dyDescent="0.15">
      <c r="A77" s="50" t="s">
        <v>1380</v>
      </c>
      <c r="B77" s="55" t="s">
        <v>1040</v>
      </c>
      <c r="C77" s="52" t="s">
        <v>2079</v>
      </c>
      <c r="D77" s="52" t="s">
        <v>2080</v>
      </c>
      <c r="E77" s="52" t="s">
        <v>2081</v>
      </c>
      <c r="F77" s="52" t="s">
        <v>2082</v>
      </c>
      <c r="G77" s="52" t="s">
        <v>2083</v>
      </c>
      <c r="H77" s="52" t="s">
        <v>2084</v>
      </c>
      <c r="I77" s="52" t="s">
        <v>2085</v>
      </c>
      <c r="J77" s="52" t="s">
        <v>2086</v>
      </c>
      <c r="K77" s="53" t="s">
        <v>1632</v>
      </c>
      <c r="L77" s="52"/>
    </row>
    <row r="78" spans="1:12" ht="96" customHeight="1" x14ac:dyDescent="0.15">
      <c r="A78" s="50" t="s">
        <v>1381</v>
      </c>
      <c r="B78" s="55" t="s">
        <v>1040</v>
      </c>
      <c r="C78" s="52" t="s">
        <v>2087</v>
      </c>
      <c r="D78" s="52" t="s">
        <v>2088</v>
      </c>
      <c r="E78" s="52" t="s">
        <v>2089</v>
      </c>
      <c r="F78" s="52" t="s">
        <v>2090</v>
      </c>
      <c r="G78" s="52" t="s">
        <v>2091</v>
      </c>
      <c r="H78" s="52" t="s">
        <v>2092</v>
      </c>
      <c r="I78" s="52" t="s">
        <v>2093</v>
      </c>
      <c r="J78" s="52" t="s">
        <v>2024</v>
      </c>
      <c r="K78" s="53" t="s">
        <v>1632</v>
      </c>
      <c r="L78" s="52"/>
    </row>
    <row r="79" spans="1:12" ht="96" customHeight="1" x14ac:dyDescent="0.15">
      <c r="A79" s="50" t="s">
        <v>1382</v>
      </c>
      <c r="B79" s="55" t="s">
        <v>1040</v>
      </c>
      <c r="C79" s="52" t="s">
        <v>2094</v>
      </c>
      <c r="D79" s="52" t="s">
        <v>2095</v>
      </c>
      <c r="E79" s="52" t="s">
        <v>2096</v>
      </c>
      <c r="F79" s="52" t="s">
        <v>2097</v>
      </c>
      <c r="G79" s="52" t="s">
        <v>2098</v>
      </c>
      <c r="H79" s="52" t="s">
        <v>2099</v>
      </c>
      <c r="I79" s="52" t="s">
        <v>2100</v>
      </c>
      <c r="J79" s="52" t="s">
        <v>2101</v>
      </c>
      <c r="K79" s="53" t="s">
        <v>1632</v>
      </c>
      <c r="L79" s="52"/>
    </row>
    <row r="80" spans="1:12" ht="96" customHeight="1" x14ac:dyDescent="0.15">
      <c r="A80" s="50" t="s">
        <v>1383</v>
      </c>
      <c r="B80" s="55" t="s">
        <v>1040</v>
      </c>
      <c r="C80" s="52" t="s">
        <v>2102</v>
      </c>
      <c r="D80" s="52" t="s">
        <v>2103</v>
      </c>
      <c r="E80" s="52" t="s">
        <v>2104</v>
      </c>
      <c r="F80" s="52" t="s">
        <v>2105</v>
      </c>
      <c r="G80" s="52" t="s">
        <v>2106</v>
      </c>
      <c r="H80" s="52" t="s">
        <v>2107</v>
      </c>
      <c r="I80" s="52" t="s">
        <v>2108</v>
      </c>
      <c r="J80" s="52" t="s">
        <v>2109</v>
      </c>
      <c r="K80" s="53" t="s">
        <v>1632</v>
      </c>
      <c r="L80" s="52"/>
    </row>
    <row r="81" spans="1:12" ht="258" customHeight="1" x14ac:dyDescent="0.15">
      <c r="A81" s="50" t="s">
        <v>1384</v>
      </c>
      <c r="B81" s="55" t="s">
        <v>1040</v>
      </c>
      <c r="C81" s="52" t="s">
        <v>2110</v>
      </c>
      <c r="D81" s="52" t="s">
        <v>2111</v>
      </c>
      <c r="E81" s="52" t="s">
        <v>2112</v>
      </c>
      <c r="F81" s="52" t="s">
        <v>2113</v>
      </c>
      <c r="G81" s="52" t="s">
        <v>2114</v>
      </c>
      <c r="H81" s="52" t="s">
        <v>2115</v>
      </c>
      <c r="I81" s="52" t="s">
        <v>2116</v>
      </c>
      <c r="J81" s="52" t="s">
        <v>2117</v>
      </c>
      <c r="K81" s="53" t="s">
        <v>1632</v>
      </c>
      <c r="L81" s="52"/>
    </row>
    <row r="82" spans="1:12" ht="96" customHeight="1" x14ac:dyDescent="0.15">
      <c r="A82" s="50" t="s">
        <v>1385</v>
      </c>
      <c r="B82" s="55" t="s">
        <v>1040</v>
      </c>
      <c r="C82" s="52" t="s">
        <v>2118</v>
      </c>
      <c r="D82" s="52" t="s">
        <v>2119</v>
      </c>
      <c r="E82" s="52" t="s">
        <v>2120</v>
      </c>
      <c r="F82" s="52" t="s">
        <v>2121</v>
      </c>
      <c r="G82" s="52" t="s">
        <v>2122</v>
      </c>
      <c r="H82" s="52" t="s">
        <v>2123</v>
      </c>
      <c r="I82" s="52" t="s">
        <v>2124</v>
      </c>
      <c r="J82" s="52" t="s">
        <v>2125</v>
      </c>
      <c r="K82" s="53" t="s">
        <v>1632</v>
      </c>
      <c r="L82" s="52"/>
    </row>
    <row r="83" spans="1:12" ht="96" customHeight="1" x14ac:dyDescent="0.15">
      <c r="A83" s="50" t="s">
        <v>1386</v>
      </c>
      <c r="B83" s="55" t="s">
        <v>1040</v>
      </c>
      <c r="C83" s="52" t="s">
        <v>2126</v>
      </c>
      <c r="D83" s="52" t="s">
        <v>2127</v>
      </c>
      <c r="E83" s="52" t="s">
        <v>2128</v>
      </c>
      <c r="F83" s="52" t="s">
        <v>2129</v>
      </c>
      <c r="G83" s="52" t="s">
        <v>2130</v>
      </c>
      <c r="H83" s="52" t="s">
        <v>2131</v>
      </c>
      <c r="I83" s="52" t="s">
        <v>2132</v>
      </c>
      <c r="J83" s="52" t="s">
        <v>2133</v>
      </c>
      <c r="K83" s="53" t="s">
        <v>1632</v>
      </c>
      <c r="L83" s="52"/>
    </row>
    <row r="84" spans="1:12" ht="96" customHeight="1" x14ac:dyDescent="0.15">
      <c r="A84" s="50" t="s">
        <v>1387</v>
      </c>
      <c r="B84" s="55" t="s">
        <v>1040</v>
      </c>
      <c r="C84" s="52" t="s">
        <v>2134</v>
      </c>
      <c r="D84" s="52" t="s">
        <v>2135</v>
      </c>
      <c r="E84" s="52" t="s">
        <v>2136</v>
      </c>
      <c r="F84" s="52" t="s">
        <v>2137</v>
      </c>
      <c r="G84" s="52" t="s">
        <v>2138</v>
      </c>
      <c r="H84" s="52" t="s">
        <v>2139</v>
      </c>
      <c r="I84" s="52" t="s">
        <v>2140</v>
      </c>
      <c r="J84" s="52" t="s">
        <v>2141</v>
      </c>
      <c r="K84" s="53" t="s">
        <v>1632</v>
      </c>
      <c r="L84" s="52"/>
    </row>
    <row r="85" spans="1:12" ht="96" customHeight="1" x14ac:dyDescent="0.15">
      <c r="A85" s="50" t="s">
        <v>1388</v>
      </c>
      <c r="B85" s="55" t="s">
        <v>1040</v>
      </c>
      <c r="C85" s="52" t="s">
        <v>2142</v>
      </c>
      <c r="D85" s="52" t="s">
        <v>2143</v>
      </c>
      <c r="E85" s="52" t="s">
        <v>2144</v>
      </c>
      <c r="F85" s="52" t="s">
        <v>2145</v>
      </c>
      <c r="G85" s="52" t="s">
        <v>2146</v>
      </c>
      <c r="H85" s="52" t="s">
        <v>2147</v>
      </c>
      <c r="I85" s="52" t="s">
        <v>2148</v>
      </c>
      <c r="J85" s="52" t="s">
        <v>2149</v>
      </c>
      <c r="K85" s="53" t="s">
        <v>1632</v>
      </c>
      <c r="L85" s="52"/>
    </row>
    <row r="86" spans="1:12" ht="96" customHeight="1" x14ac:dyDescent="0.15">
      <c r="A86" s="50" t="s">
        <v>1389</v>
      </c>
      <c r="B86" s="55" t="s">
        <v>1040</v>
      </c>
      <c r="C86" s="52" t="s">
        <v>2150</v>
      </c>
      <c r="D86" s="52" t="s">
        <v>2151</v>
      </c>
      <c r="E86" s="52" t="s">
        <v>2152</v>
      </c>
      <c r="F86" s="52" t="s">
        <v>2153</v>
      </c>
      <c r="G86" s="52" t="s">
        <v>2154</v>
      </c>
      <c r="H86" s="52" t="s">
        <v>168</v>
      </c>
      <c r="I86" s="52" t="s">
        <v>2155</v>
      </c>
      <c r="J86" s="52" t="s">
        <v>2156</v>
      </c>
      <c r="K86" s="53" t="s">
        <v>1632</v>
      </c>
      <c r="L86" s="52"/>
    </row>
    <row r="87" spans="1:12" ht="96" customHeight="1" x14ac:dyDescent="0.15">
      <c r="A87" s="50" t="s">
        <v>1390</v>
      </c>
      <c r="B87" s="55" t="s">
        <v>1040</v>
      </c>
      <c r="C87" s="52" t="s">
        <v>2157</v>
      </c>
      <c r="D87" s="52" t="s">
        <v>2158</v>
      </c>
      <c r="E87" s="52" t="s">
        <v>2159</v>
      </c>
      <c r="F87" s="52" t="s">
        <v>2160</v>
      </c>
      <c r="G87" s="52" t="s">
        <v>2161</v>
      </c>
      <c r="H87" s="52" t="s">
        <v>2162</v>
      </c>
      <c r="I87" s="52" t="s">
        <v>2163</v>
      </c>
      <c r="J87" s="52" t="s">
        <v>2164</v>
      </c>
      <c r="K87" s="53" t="s">
        <v>1632</v>
      </c>
      <c r="L87" s="52"/>
    </row>
    <row r="88" spans="1:12" ht="96" customHeight="1" x14ac:dyDescent="0.15">
      <c r="A88" s="50" t="s">
        <v>1391</v>
      </c>
      <c r="B88" s="55" t="s">
        <v>1040</v>
      </c>
      <c r="C88" s="52" t="s">
        <v>2165</v>
      </c>
      <c r="D88" s="52" t="s">
        <v>2166</v>
      </c>
      <c r="E88" s="52" t="s">
        <v>2167</v>
      </c>
      <c r="F88" s="52" t="s">
        <v>2168</v>
      </c>
      <c r="G88" s="52" t="s">
        <v>2169</v>
      </c>
      <c r="H88" s="52" t="s">
        <v>2170</v>
      </c>
      <c r="I88" s="52" t="s">
        <v>2171</v>
      </c>
      <c r="J88" s="52" t="s">
        <v>2133</v>
      </c>
      <c r="K88" s="53" t="s">
        <v>1632</v>
      </c>
      <c r="L88" s="52"/>
    </row>
    <row r="89" spans="1:12" ht="96" customHeight="1" x14ac:dyDescent="0.15">
      <c r="A89" s="50" t="s">
        <v>1392</v>
      </c>
      <c r="B89" s="55" t="s">
        <v>1040</v>
      </c>
      <c r="C89" s="52" t="s">
        <v>2172</v>
      </c>
      <c r="D89" s="52" t="s">
        <v>2173</v>
      </c>
      <c r="E89" s="52" t="s">
        <v>2174</v>
      </c>
      <c r="F89" s="52" t="s">
        <v>2175</v>
      </c>
      <c r="G89" s="52" t="s">
        <v>2176</v>
      </c>
      <c r="H89" s="52" t="s">
        <v>2177</v>
      </c>
      <c r="I89" s="52" t="s">
        <v>2178</v>
      </c>
      <c r="J89" s="52" t="s">
        <v>2179</v>
      </c>
      <c r="K89" s="53" t="s">
        <v>1632</v>
      </c>
      <c r="L89" s="52"/>
    </row>
    <row r="90" spans="1:12" ht="96" customHeight="1" x14ac:dyDescent="0.15">
      <c r="A90" s="50" t="s">
        <v>1393</v>
      </c>
      <c r="B90" s="55" t="s">
        <v>1040</v>
      </c>
      <c r="C90" s="52" t="s">
        <v>2180</v>
      </c>
      <c r="D90" s="52" t="s">
        <v>2181</v>
      </c>
      <c r="E90" s="52" t="s">
        <v>2182</v>
      </c>
      <c r="F90" s="52" t="s">
        <v>2183</v>
      </c>
      <c r="G90" s="52" t="s">
        <v>2184</v>
      </c>
      <c r="H90" s="52" t="s">
        <v>2185</v>
      </c>
      <c r="I90" s="52" t="s">
        <v>2186</v>
      </c>
      <c r="J90" s="52" t="s">
        <v>2187</v>
      </c>
      <c r="K90" s="53" t="s">
        <v>1632</v>
      </c>
      <c r="L90" s="52"/>
    </row>
    <row r="91" spans="1:12" ht="270" customHeight="1" x14ac:dyDescent="0.15">
      <c r="A91" s="50" t="s">
        <v>1394</v>
      </c>
      <c r="B91" s="55" t="s">
        <v>1040</v>
      </c>
      <c r="C91" s="52" t="s">
        <v>2188</v>
      </c>
      <c r="D91" s="52" t="s">
        <v>2189</v>
      </c>
      <c r="E91" s="52" t="s">
        <v>2190</v>
      </c>
      <c r="F91" s="52" t="s">
        <v>2191</v>
      </c>
      <c r="G91" s="52" t="s">
        <v>2192</v>
      </c>
      <c r="H91" s="52" t="s">
        <v>2193</v>
      </c>
      <c r="I91" s="52" t="s">
        <v>2194</v>
      </c>
      <c r="J91" s="52" t="s">
        <v>2024</v>
      </c>
      <c r="K91" s="53" t="s">
        <v>1632</v>
      </c>
      <c r="L91" s="52"/>
    </row>
    <row r="92" spans="1:12" ht="96" customHeight="1" x14ac:dyDescent="0.15">
      <c r="A92" s="50" t="s">
        <v>1395</v>
      </c>
      <c r="B92" s="55" t="s">
        <v>1040</v>
      </c>
      <c r="C92" s="52" t="s">
        <v>2195</v>
      </c>
      <c r="D92" s="52" t="s">
        <v>2196</v>
      </c>
      <c r="E92" s="52" t="s">
        <v>2197</v>
      </c>
      <c r="F92" s="52" t="s">
        <v>2198</v>
      </c>
      <c r="G92" s="52" t="s">
        <v>2199</v>
      </c>
      <c r="H92" s="52" t="s">
        <v>2200</v>
      </c>
      <c r="I92" s="52" t="s">
        <v>2201</v>
      </c>
      <c r="J92" s="52" t="s">
        <v>2133</v>
      </c>
      <c r="K92" s="53" t="s">
        <v>1632</v>
      </c>
      <c r="L92" s="52"/>
    </row>
    <row r="93" spans="1:12" ht="96" customHeight="1" x14ac:dyDescent="0.15">
      <c r="A93" s="50" t="s">
        <v>1396</v>
      </c>
      <c r="B93" s="55" t="s">
        <v>1040</v>
      </c>
      <c r="C93" s="52" t="s">
        <v>2202</v>
      </c>
      <c r="D93" s="52" t="s">
        <v>2203</v>
      </c>
      <c r="E93" s="52" t="s">
        <v>2204</v>
      </c>
      <c r="F93" s="52" t="s">
        <v>2205</v>
      </c>
      <c r="G93" s="52" t="s">
        <v>2206</v>
      </c>
      <c r="H93" s="52" t="s">
        <v>2207</v>
      </c>
      <c r="I93" s="52" t="s">
        <v>2208</v>
      </c>
      <c r="J93" s="52" t="s">
        <v>1940</v>
      </c>
      <c r="K93" s="53" t="s">
        <v>1632</v>
      </c>
      <c r="L93" s="52"/>
    </row>
    <row r="94" spans="1:12" ht="96" customHeight="1" x14ac:dyDescent="0.15">
      <c r="A94" s="50" t="s">
        <v>1397</v>
      </c>
      <c r="B94" s="55" t="s">
        <v>1040</v>
      </c>
      <c r="C94" s="52" t="s">
        <v>2209</v>
      </c>
      <c r="D94" s="52" t="s">
        <v>2210</v>
      </c>
      <c r="E94" s="52" t="s">
        <v>2211</v>
      </c>
      <c r="F94" s="52" t="s">
        <v>2212</v>
      </c>
      <c r="G94" s="52" t="s">
        <v>2213</v>
      </c>
      <c r="H94" s="52" t="s">
        <v>1117</v>
      </c>
      <c r="I94" s="52" t="s">
        <v>2214</v>
      </c>
      <c r="J94" s="52" t="s">
        <v>2215</v>
      </c>
      <c r="K94" s="53" t="s">
        <v>1632</v>
      </c>
      <c r="L94" s="52"/>
    </row>
    <row r="95" spans="1:12" ht="96" customHeight="1" x14ac:dyDescent="0.15">
      <c r="A95" s="50" t="s">
        <v>1398</v>
      </c>
      <c r="B95" s="55" t="s">
        <v>1040</v>
      </c>
      <c r="C95" s="52" t="s">
        <v>2216</v>
      </c>
      <c r="D95" s="52" t="s">
        <v>2217</v>
      </c>
      <c r="E95" s="52" t="s">
        <v>2218</v>
      </c>
      <c r="F95" s="52" t="s">
        <v>2219</v>
      </c>
      <c r="G95" s="52" t="s">
        <v>2220</v>
      </c>
      <c r="H95" s="52" t="s">
        <v>2221</v>
      </c>
      <c r="I95" s="52" t="s">
        <v>2222</v>
      </c>
      <c r="J95" s="52" t="s">
        <v>2223</v>
      </c>
      <c r="K95" s="53" t="s">
        <v>1632</v>
      </c>
      <c r="L95" s="52"/>
    </row>
    <row r="96" spans="1:12" ht="96" customHeight="1" x14ac:dyDescent="0.15">
      <c r="A96" s="50" t="s">
        <v>1399</v>
      </c>
      <c r="B96" s="55" t="s">
        <v>1040</v>
      </c>
      <c r="C96" s="52" t="s">
        <v>2224</v>
      </c>
      <c r="D96" s="52" t="s">
        <v>2225</v>
      </c>
      <c r="E96" s="52" t="s">
        <v>2226</v>
      </c>
      <c r="F96" s="52" t="s">
        <v>2227</v>
      </c>
      <c r="G96" s="52" t="s">
        <v>2228</v>
      </c>
      <c r="H96" s="52" t="s">
        <v>1125</v>
      </c>
      <c r="I96" s="52" t="s">
        <v>2229</v>
      </c>
      <c r="J96" s="52" t="s">
        <v>2230</v>
      </c>
      <c r="K96" s="53" t="s">
        <v>1632</v>
      </c>
      <c r="L96" s="52"/>
    </row>
    <row r="97" spans="1:12" ht="96" customHeight="1" x14ac:dyDescent="0.15">
      <c r="A97" s="50" t="s">
        <v>1400</v>
      </c>
      <c r="B97" s="55" t="s">
        <v>1040</v>
      </c>
      <c r="C97" s="52" t="s">
        <v>2231</v>
      </c>
      <c r="D97" s="52" t="s">
        <v>2232</v>
      </c>
      <c r="E97" s="52" t="s">
        <v>2233</v>
      </c>
      <c r="F97" s="52" t="s">
        <v>2234</v>
      </c>
      <c r="G97" s="52" t="s">
        <v>2235</v>
      </c>
      <c r="H97" s="52" t="s">
        <v>2236</v>
      </c>
      <c r="I97" s="52" t="s">
        <v>2237</v>
      </c>
      <c r="J97" s="52" t="s">
        <v>2238</v>
      </c>
      <c r="K97" s="53" t="s">
        <v>1632</v>
      </c>
      <c r="L97" s="52"/>
    </row>
    <row r="98" spans="1:12" ht="96" customHeight="1" x14ac:dyDescent="0.15">
      <c r="A98" s="50" t="s">
        <v>1401</v>
      </c>
      <c r="B98" s="55" t="s">
        <v>1040</v>
      </c>
      <c r="C98" s="52" t="s">
        <v>2239</v>
      </c>
      <c r="D98" s="52" t="s">
        <v>2240</v>
      </c>
      <c r="E98" s="52" t="s">
        <v>2241</v>
      </c>
      <c r="F98" s="52" t="s">
        <v>2242</v>
      </c>
      <c r="G98" s="52" t="s">
        <v>2243</v>
      </c>
      <c r="H98" s="52" t="s">
        <v>2244</v>
      </c>
      <c r="I98" s="52" t="s">
        <v>2245</v>
      </c>
      <c r="J98" s="52" t="s">
        <v>2246</v>
      </c>
      <c r="K98" s="53" t="s">
        <v>1632</v>
      </c>
      <c r="L98" s="52"/>
    </row>
    <row r="99" spans="1:12" ht="84" customHeight="1" x14ac:dyDescent="0.15">
      <c r="A99" s="50" t="s">
        <v>1402</v>
      </c>
      <c r="B99" s="55" t="s">
        <v>1040</v>
      </c>
      <c r="C99" s="52" t="s">
        <v>2247</v>
      </c>
      <c r="D99" s="52" t="s">
        <v>2248</v>
      </c>
      <c r="E99" s="52" t="s">
        <v>2710</v>
      </c>
      <c r="F99" s="52" t="s">
        <v>2249</v>
      </c>
      <c r="G99" s="52" t="s">
        <v>2711</v>
      </c>
      <c r="H99" s="52" t="s">
        <v>2250</v>
      </c>
      <c r="I99" s="52" t="s">
        <v>2251</v>
      </c>
      <c r="J99" s="52" t="s">
        <v>2133</v>
      </c>
      <c r="K99" s="53" t="s">
        <v>1632</v>
      </c>
      <c r="L99" s="52"/>
    </row>
    <row r="100" spans="1:12" ht="96" customHeight="1" x14ac:dyDescent="0.15">
      <c r="A100" s="50" t="s">
        <v>1403</v>
      </c>
      <c r="B100" s="55" t="s">
        <v>1040</v>
      </c>
      <c r="C100" s="52" t="s">
        <v>2252</v>
      </c>
      <c r="D100" s="52" t="s">
        <v>2253</v>
      </c>
      <c r="E100" s="52" t="s">
        <v>2254</v>
      </c>
      <c r="F100" s="52" t="s">
        <v>2255</v>
      </c>
      <c r="G100" s="52" t="s">
        <v>2256</v>
      </c>
      <c r="H100" s="52" t="s">
        <v>2257</v>
      </c>
      <c r="I100" s="52" t="s">
        <v>2258</v>
      </c>
      <c r="J100" s="52" t="s">
        <v>1653</v>
      </c>
      <c r="K100" s="53" t="s">
        <v>1632</v>
      </c>
      <c r="L100" s="52"/>
    </row>
    <row r="101" spans="1:12" ht="96" customHeight="1" x14ac:dyDescent="0.15">
      <c r="A101" s="50" t="s">
        <v>1404</v>
      </c>
      <c r="B101" s="55" t="s">
        <v>1040</v>
      </c>
      <c r="C101" s="52" t="s">
        <v>2259</v>
      </c>
      <c r="D101" s="52" t="s">
        <v>2260</v>
      </c>
      <c r="E101" s="52" t="s">
        <v>2261</v>
      </c>
      <c r="F101" s="52" t="s">
        <v>2262</v>
      </c>
      <c r="G101" s="52" t="s">
        <v>2263</v>
      </c>
      <c r="H101" s="52" t="s">
        <v>2264</v>
      </c>
      <c r="I101" s="52" t="s">
        <v>2265</v>
      </c>
      <c r="J101" s="52" t="s">
        <v>2266</v>
      </c>
      <c r="K101" s="53" t="s">
        <v>1632</v>
      </c>
      <c r="L101" s="52"/>
    </row>
    <row r="102" spans="1:12" ht="96" customHeight="1" x14ac:dyDescent="0.15">
      <c r="A102" s="50" t="s">
        <v>1405</v>
      </c>
      <c r="B102" s="55" t="s">
        <v>1040</v>
      </c>
      <c r="C102" s="52" t="s">
        <v>2267</v>
      </c>
      <c r="D102" s="52" t="s">
        <v>2268</v>
      </c>
      <c r="E102" s="52" t="s">
        <v>2269</v>
      </c>
      <c r="F102" s="52" t="s">
        <v>2270</v>
      </c>
      <c r="G102" s="52" t="s">
        <v>2271</v>
      </c>
      <c r="H102" s="52" t="s">
        <v>2272</v>
      </c>
      <c r="I102" s="52" t="s">
        <v>2273</v>
      </c>
      <c r="J102" s="52" t="s">
        <v>2274</v>
      </c>
      <c r="K102" s="53" t="s">
        <v>1632</v>
      </c>
      <c r="L102" s="52"/>
    </row>
    <row r="103" spans="1:12" ht="96" customHeight="1" x14ac:dyDescent="0.15">
      <c r="A103" s="50" t="s">
        <v>1406</v>
      </c>
      <c r="B103" s="55" t="s">
        <v>1040</v>
      </c>
      <c r="C103" s="52" t="s">
        <v>2275</v>
      </c>
      <c r="D103" s="52" t="s">
        <v>2276</v>
      </c>
      <c r="E103" s="52" t="s">
        <v>2277</v>
      </c>
      <c r="F103" s="52" t="s">
        <v>2278</v>
      </c>
      <c r="G103" s="52" t="s">
        <v>2279</v>
      </c>
      <c r="H103" s="52" t="s">
        <v>2280</v>
      </c>
      <c r="I103" s="52" t="s">
        <v>2281</v>
      </c>
      <c r="J103" s="52" t="s">
        <v>2133</v>
      </c>
      <c r="K103" s="53" t="s">
        <v>1632</v>
      </c>
      <c r="L103" s="52"/>
    </row>
    <row r="104" spans="1:12" ht="96" customHeight="1" x14ac:dyDescent="0.15">
      <c r="A104" s="50" t="s">
        <v>1407</v>
      </c>
      <c r="B104" s="55" t="s">
        <v>1040</v>
      </c>
      <c r="C104" s="52" t="s">
        <v>2282</v>
      </c>
      <c r="D104" s="52" t="s">
        <v>2283</v>
      </c>
      <c r="E104" s="52" t="s">
        <v>2284</v>
      </c>
      <c r="F104" s="52" t="s">
        <v>2285</v>
      </c>
      <c r="G104" s="52" t="s">
        <v>2286</v>
      </c>
      <c r="H104" s="52" t="s">
        <v>2287</v>
      </c>
      <c r="I104" s="52" t="s">
        <v>2288</v>
      </c>
      <c r="J104" s="52" t="s">
        <v>2289</v>
      </c>
      <c r="K104" s="53" t="s">
        <v>1632</v>
      </c>
      <c r="L104" s="52"/>
    </row>
    <row r="105" spans="1:12" ht="96" customHeight="1" x14ac:dyDescent="0.15">
      <c r="A105" s="50" t="s">
        <v>1408</v>
      </c>
      <c r="B105" s="55" t="s">
        <v>1040</v>
      </c>
      <c r="C105" s="52" t="s">
        <v>2290</v>
      </c>
      <c r="D105" s="52" t="s">
        <v>2291</v>
      </c>
      <c r="E105" s="52" t="s">
        <v>2292</v>
      </c>
      <c r="F105" s="52" t="s">
        <v>2293</v>
      </c>
      <c r="G105" s="52" t="s">
        <v>2294</v>
      </c>
      <c r="H105" s="52" t="s">
        <v>2295</v>
      </c>
      <c r="I105" s="52" t="s">
        <v>2296</v>
      </c>
      <c r="J105" s="52" t="s">
        <v>2297</v>
      </c>
      <c r="K105" s="53" t="s">
        <v>1632</v>
      </c>
      <c r="L105" s="52"/>
    </row>
    <row r="106" spans="1:12" ht="96" customHeight="1" x14ac:dyDescent="0.15">
      <c r="A106" s="50" t="s">
        <v>1409</v>
      </c>
      <c r="B106" s="55" t="s">
        <v>1040</v>
      </c>
      <c r="C106" s="52" t="s">
        <v>2298</v>
      </c>
      <c r="D106" s="52" t="s">
        <v>2299</v>
      </c>
      <c r="E106" s="52" t="s">
        <v>2300</v>
      </c>
      <c r="F106" s="52" t="s">
        <v>2301</v>
      </c>
      <c r="G106" s="52" t="s">
        <v>2302</v>
      </c>
      <c r="H106" s="52" t="s">
        <v>2303</v>
      </c>
      <c r="I106" s="52" t="s">
        <v>2304</v>
      </c>
      <c r="J106" s="52" t="s">
        <v>1940</v>
      </c>
      <c r="K106" s="53" t="s">
        <v>1632</v>
      </c>
      <c r="L106" s="52"/>
    </row>
    <row r="107" spans="1:12" ht="96" customHeight="1" x14ac:dyDescent="0.15">
      <c r="A107" s="50" t="s">
        <v>1410</v>
      </c>
      <c r="B107" s="55" t="s">
        <v>1040</v>
      </c>
      <c r="C107" s="52" t="s">
        <v>2305</v>
      </c>
      <c r="D107" s="52" t="s">
        <v>2306</v>
      </c>
      <c r="E107" s="52" t="s">
        <v>2307</v>
      </c>
      <c r="F107" s="52" t="s">
        <v>2308</v>
      </c>
      <c r="G107" s="52" t="s">
        <v>2309</v>
      </c>
      <c r="H107" s="52" t="s">
        <v>2310</v>
      </c>
      <c r="I107" s="52" t="s">
        <v>2311</v>
      </c>
      <c r="J107" s="52" t="s">
        <v>2312</v>
      </c>
      <c r="K107" s="53" t="s">
        <v>1632</v>
      </c>
      <c r="L107" s="52"/>
    </row>
    <row r="108" spans="1:12" ht="96" customHeight="1" x14ac:dyDescent="0.15">
      <c r="A108" s="50" t="s">
        <v>1411</v>
      </c>
      <c r="B108" s="55" t="s">
        <v>1040</v>
      </c>
      <c r="C108" s="52" t="s">
        <v>2313</v>
      </c>
      <c r="D108" s="52" t="s">
        <v>2314</v>
      </c>
      <c r="E108" s="52" t="s">
        <v>2315</v>
      </c>
      <c r="F108" s="52" t="s">
        <v>2316</v>
      </c>
      <c r="G108" s="52" t="s">
        <v>2317</v>
      </c>
      <c r="H108" s="52" t="s">
        <v>1166</v>
      </c>
      <c r="I108" s="52" t="s">
        <v>2318</v>
      </c>
      <c r="J108" s="52" t="s">
        <v>1940</v>
      </c>
      <c r="K108" s="53" t="s">
        <v>1632</v>
      </c>
      <c r="L108" s="52"/>
    </row>
    <row r="109" spans="1:12" ht="96" customHeight="1" x14ac:dyDescent="0.15">
      <c r="A109" s="50" t="s">
        <v>1167</v>
      </c>
      <c r="B109" s="55" t="s">
        <v>1040</v>
      </c>
      <c r="C109" s="52" t="s">
        <v>2319</v>
      </c>
      <c r="D109" s="52" t="s">
        <v>2320</v>
      </c>
      <c r="E109" s="52" t="s">
        <v>2321</v>
      </c>
      <c r="F109" s="52" t="s">
        <v>2322</v>
      </c>
      <c r="G109" s="52" t="s">
        <v>2323</v>
      </c>
      <c r="H109" s="52" t="s">
        <v>2324</v>
      </c>
      <c r="I109" s="52" t="s">
        <v>2325</v>
      </c>
      <c r="J109" s="52" t="s">
        <v>2326</v>
      </c>
      <c r="K109" s="53" t="s">
        <v>1632</v>
      </c>
      <c r="L109" s="52"/>
    </row>
    <row r="110" spans="1:12" ht="96" customHeight="1" x14ac:dyDescent="0.15">
      <c r="A110" s="50" t="s">
        <v>1173</v>
      </c>
      <c r="B110" s="55" t="s">
        <v>1040</v>
      </c>
      <c r="C110" s="52" t="s">
        <v>2327</v>
      </c>
      <c r="D110" s="52" t="s">
        <v>2328</v>
      </c>
      <c r="E110" s="52" t="s">
        <v>2329</v>
      </c>
      <c r="F110" s="52" t="s">
        <v>2330</v>
      </c>
      <c r="G110" s="52" t="s">
        <v>2331</v>
      </c>
      <c r="H110" s="52" t="s">
        <v>2332</v>
      </c>
      <c r="I110" s="52" t="s">
        <v>2333</v>
      </c>
      <c r="J110" s="52" t="s">
        <v>2274</v>
      </c>
      <c r="K110" s="53" t="s">
        <v>1632</v>
      </c>
      <c r="L110" s="52"/>
    </row>
    <row r="111" spans="1:12" ht="96" customHeight="1" x14ac:dyDescent="0.15">
      <c r="A111" s="50" t="s">
        <v>1176</v>
      </c>
      <c r="B111" s="55" t="s">
        <v>1040</v>
      </c>
      <c r="C111" s="52" t="s">
        <v>2334</v>
      </c>
      <c r="D111" s="52" t="s">
        <v>2335</v>
      </c>
      <c r="E111" s="52" t="s">
        <v>2336</v>
      </c>
      <c r="F111" s="52" t="s">
        <v>2337</v>
      </c>
      <c r="G111" s="52" t="s">
        <v>2338</v>
      </c>
      <c r="H111" s="52" t="s">
        <v>2339</v>
      </c>
      <c r="I111" s="52" t="s">
        <v>2340</v>
      </c>
      <c r="J111" s="52" t="s">
        <v>2274</v>
      </c>
      <c r="K111" s="53" t="s">
        <v>1632</v>
      </c>
      <c r="L111" s="52"/>
    </row>
    <row r="112" spans="1:12" ht="96" customHeight="1" x14ac:dyDescent="0.15">
      <c r="A112" s="50" t="s">
        <v>1180</v>
      </c>
      <c r="B112" s="55" t="s">
        <v>1040</v>
      </c>
      <c r="C112" s="52" t="s">
        <v>2341</v>
      </c>
      <c r="D112" s="52" t="s">
        <v>2342</v>
      </c>
      <c r="E112" s="52" t="s">
        <v>2343</v>
      </c>
      <c r="F112" s="52" t="s">
        <v>2344</v>
      </c>
      <c r="G112" s="52" t="s">
        <v>2345</v>
      </c>
      <c r="H112" s="52" t="s">
        <v>2346</v>
      </c>
      <c r="I112" s="52" t="s">
        <v>2347</v>
      </c>
      <c r="J112" s="52" t="s">
        <v>2274</v>
      </c>
      <c r="K112" s="53" t="s">
        <v>1632</v>
      </c>
      <c r="L112" s="52"/>
    </row>
    <row r="113" spans="1:12" ht="96" customHeight="1" x14ac:dyDescent="0.15">
      <c r="A113" s="50" t="s">
        <v>1183</v>
      </c>
      <c r="B113" s="55" t="s">
        <v>1040</v>
      </c>
      <c r="C113" s="52" t="s">
        <v>2348</v>
      </c>
      <c r="D113" s="52" t="s">
        <v>2349</v>
      </c>
      <c r="E113" s="52" t="s">
        <v>2350</v>
      </c>
      <c r="F113" s="52" t="s">
        <v>2351</v>
      </c>
      <c r="G113" s="52" t="s">
        <v>2352</v>
      </c>
      <c r="H113" s="52" t="s">
        <v>1185</v>
      </c>
      <c r="I113" s="52" t="s">
        <v>2353</v>
      </c>
      <c r="J113" s="52" t="s">
        <v>2354</v>
      </c>
      <c r="K113" s="53" t="s">
        <v>1632</v>
      </c>
      <c r="L113" s="52"/>
    </row>
    <row r="114" spans="1:12" ht="96" customHeight="1" x14ac:dyDescent="0.15">
      <c r="A114" s="50" t="s">
        <v>1189</v>
      </c>
      <c r="B114" s="55" t="s">
        <v>1040</v>
      </c>
      <c r="C114" s="52" t="s">
        <v>2355</v>
      </c>
      <c r="D114" s="52" t="s">
        <v>2356</v>
      </c>
      <c r="E114" s="52" t="s">
        <v>2357</v>
      </c>
      <c r="F114" s="52" t="s">
        <v>2358</v>
      </c>
      <c r="G114" s="52" t="s">
        <v>2359</v>
      </c>
      <c r="H114" s="52" t="s">
        <v>2360</v>
      </c>
      <c r="I114" s="52" t="s">
        <v>2361</v>
      </c>
      <c r="J114" s="52" t="s">
        <v>2274</v>
      </c>
      <c r="K114" s="53" t="s">
        <v>1632</v>
      </c>
      <c r="L114" s="52"/>
    </row>
    <row r="115" spans="1:12" ht="96" customHeight="1" x14ac:dyDescent="0.15">
      <c r="A115" s="50" t="s">
        <v>1192</v>
      </c>
      <c r="B115" s="55" t="s">
        <v>1040</v>
      </c>
      <c r="C115" s="52" t="s">
        <v>2362</v>
      </c>
      <c r="D115" s="52" t="s">
        <v>2363</v>
      </c>
      <c r="E115" s="52" t="s">
        <v>2364</v>
      </c>
      <c r="F115" s="52" t="s">
        <v>2365</v>
      </c>
      <c r="G115" s="52" t="s">
        <v>2366</v>
      </c>
      <c r="H115" s="52" t="s">
        <v>2367</v>
      </c>
      <c r="I115" s="52" t="s">
        <v>2368</v>
      </c>
      <c r="J115" s="52" t="s">
        <v>2369</v>
      </c>
      <c r="K115" s="53" t="s">
        <v>1632</v>
      </c>
      <c r="L115" s="52"/>
    </row>
    <row r="116" spans="1:12" ht="192" customHeight="1" x14ac:dyDescent="0.15">
      <c r="A116" s="50" t="s">
        <v>1195</v>
      </c>
      <c r="B116" s="55" t="s">
        <v>1040</v>
      </c>
      <c r="C116" s="52" t="s">
        <v>2370</v>
      </c>
      <c r="D116" s="52" t="s">
        <v>2371</v>
      </c>
      <c r="E116" s="52" t="s">
        <v>2712</v>
      </c>
      <c r="F116" s="52" t="s">
        <v>2372</v>
      </c>
      <c r="G116" s="52" t="s">
        <v>2713</v>
      </c>
      <c r="H116" s="52" t="s">
        <v>2373</v>
      </c>
      <c r="I116" s="52" t="s">
        <v>2374</v>
      </c>
      <c r="J116" s="52" t="s">
        <v>2375</v>
      </c>
      <c r="K116" s="53" t="s">
        <v>1632</v>
      </c>
      <c r="L116" s="52"/>
    </row>
    <row r="117" spans="1:12" ht="96" customHeight="1" x14ac:dyDescent="0.15">
      <c r="A117" s="50" t="s">
        <v>1199</v>
      </c>
      <c r="B117" s="55" t="s">
        <v>1040</v>
      </c>
      <c r="C117" s="52" t="s">
        <v>2376</v>
      </c>
      <c r="D117" s="52" t="s">
        <v>2377</v>
      </c>
      <c r="E117" s="52" t="s">
        <v>2378</v>
      </c>
      <c r="F117" s="52" t="s">
        <v>2379</v>
      </c>
      <c r="G117" s="52" t="s">
        <v>2380</v>
      </c>
      <c r="H117" s="52" t="s">
        <v>2381</v>
      </c>
      <c r="I117" s="52" t="s">
        <v>2382</v>
      </c>
      <c r="J117" s="52" t="s">
        <v>2383</v>
      </c>
      <c r="K117" s="53" t="s">
        <v>1632</v>
      </c>
      <c r="L117" s="52"/>
    </row>
    <row r="118" spans="1:12" ht="96" customHeight="1" x14ac:dyDescent="0.15">
      <c r="A118" s="50" t="s">
        <v>1202</v>
      </c>
      <c r="B118" s="55" t="s">
        <v>1040</v>
      </c>
      <c r="C118" s="52" t="s">
        <v>2384</v>
      </c>
      <c r="D118" s="52" t="s">
        <v>2385</v>
      </c>
      <c r="E118" s="52" t="s">
        <v>2386</v>
      </c>
      <c r="F118" s="52" t="s">
        <v>2387</v>
      </c>
      <c r="G118" s="52" t="s">
        <v>2388</v>
      </c>
      <c r="H118" s="52" t="s">
        <v>1156</v>
      </c>
      <c r="I118" s="52" t="s">
        <v>2389</v>
      </c>
      <c r="J118" s="52" t="s">
        <v>2274</v>
      </c>
      <c r="K118" s="53" t="s">
        <v>1632</v>
      </c>
      <c r="L118" s="52"/>
    </row>
    <row r="119" spans="1:12" ht="96" customHeight="1" x14ac:dyDescent="0.15">
      <c r="A119" s="50" t="s">
        <v>1205</v>
      </c>
      <c r="B119" s="55" t="s">
        <v>1040</v>
      </c>
      <c r="C119" s="52" t="s">
        <v>2390</v>
      </c>
      <c r="D119" s="52" t="s">
        <v>2391</v>
      </c>
      <c r="E119" s="52" t="s">
        <v>2392</v>
      </c>
      <c r="F119" s="52" t="s">
        <v>2393</v>
      </c>
      <c r="G119" s="52" t="s">
        <v>2394</v>
      </c>
      <c r="H119" s="52" t="s">
        <v>1208</v>
      </c>
      <c r="I119" s="52" t="s">
        <v>2395</v>
      </c>
      <c r="J119" s="52" t="s">
        <v>1940</v>
      </c>
      <c r="K119" s="53" t="s">
        <v>1632</v>
      </c>
      <c r="L119" s="52"/>
    </row>
    <row r="120" spans="1:12" ht="96" customHeight="1" x14ac:dyDescent="0.15">
      <c r="A120" s="50" t="s">
        <v>1211</v>
      </c>
      <c r="B120" s="55" t="s">
        <v>1040</v>
      </c>
      <c r="C120" s="52" t="s">
        <v>2396</v>
      </c>
      <c r="D120" s="52" t="s">
        <v>2397</v>
      </c>
      <c r="E120" s="52" t="s">
        <v>2398</v>
      </c>
      <c r="F120" s="52" t="s">
        <v>2399</v>
      </c>
      <c r="G120" s="52" t="s">
        <v>2400</v>
      </c>
      <c r="H120" s="52" t="s">
        <v>2401</v>
      </c>
      <c r="I120" s="52" t="s">
        <v>2402</v>
      </c>
      <c r="J120" s="52" t="s">
        <v>2326</v>
      </c>
      <c r="K120" s="53" t="s">
        <v>1632</v>
      </c>
      <c r="L120" s="52"/>
    </row>
    <row r="121" spans="1:12" ht="96" customHeight="1" x14ac:dyDescent="0.15">
      <c r="A121" s="50" t="s">
        <v>1214</v>
      </c>
      <c r="B121" s="55" t="s">
        <v>1040</v>
      </c>
      <c r="C121" s="52" t="s">
        <v>2403</v>
      </c>
      <c r="D121" s="52" t="s">
        <v>2404</v>
      </c>
      <c r="E121" s="52" t="s">
        <v>2405</v>
      </c>
      <c r="F121" s="52" t="s">
        <v>2406</v>
      </c>
      <c r="G121" s="52" t="s">
        <v>2407</v>
      </c>
      <c r="H121" s="52" t="s">
        <v>2408</v>
      </c>
      <c r="I121" s="52" t="s">
        <v>2409</v>
      </c>
      <c r="J121" s="52" t="s">
        <v>2410</v>
      </c>
      <c r="K121" s="53" t="s">
        <v>1632</v>
      </c>
      <c r="L121" s="52"/>
    </row>
    <row r="122" spans="1:12" ht="96" customHeight="1" x14ac:dyDescent="0.15">
      <c r="A122" s="50" t="s">
        <v>1218</v>
      </c>
      <c r="B122" s="55" t="s">
        <v>1040</v>
      </c>
      <c r="C122" s="52" t="s">
        <v>2411</v>
      </c>
      <c r="D122" s="52" t="s">
        <v>2412</v>
      </c>
      <c r="E122" s="52" t="s">
        <v>2413</v>
      </c>
      <c r="F122" s="52" t="s">
        <v>2414</v>
      </c>
      <c r="G122" s="52" t="s">
        <v>2415</v>
      </c>
      <c r="H122" s="52" t="s">
        <v>1220</v>
      </c>
      <c r="I122" s="52" t="s">
        <v>2416</v>
      </c>
      <c r="J122" s="52" t="s">
        <v>2274</v>
      </c>
      <c r="K122" s="53" t="s">
        <v>1632</v>
      </c>
      <c r="L122" s="52"/>
    </row>
    <row r="123" spans="1:12" ht="96" customHeight="1" x14ac:dyDescent="0.15">
      <c r="A123" s="50" t="s">
        <v>1221</v>
      </c>
      <c r="B123" s="55" t="s">
        <v>1040</v>
      </c>
      <c r="C123" s="52" t="s">
        <v>2417</v>
      </c>
      <c r="D123" s="52" t="s">
        <v>2418</v>
      </c>
      <c r="E123" s="52" t="s">
        <v>2419</v>
      </c>
      <c r="F123" s="52" t="s">
        <v>2420</v>
      </c>
      <c r="G123" s="52" t="s">
        <v>2421</v>
      </c>
      <c r="H123" s="52" t="s">
        <v>2422</v>
      </c>
      <c r="I123" s="52" t="s">
        <v>2423</v>
      </c>
      <c r="J123" s="52" t="s">
        <v>2383</v>
      </c>
      <c r="K123" s="53" t="s">
        <v>1632</v>
      </c>
      <c r="L123" s="52"/>
    </row>
    <row r="124" spans="1:12" ht="96" customHeight="1" x14ac:dyDescent="0.15">
      <c r="A124" s="50" t="s">
        <v>1224</v>
      </c>
      <c r="B124" s="55" t="s">
        <v>1040</v>
      </c>
      <c r="C124" s="52" t="s">
        <v>2424</v>
      </c>
      <c r="D124" s="52" t="s">
        <v>2425</v>
      </c>
      <c r="E124" s="52" t="s">
        <v>2426</v>
      </c>
      <c r="F124" s="52" t="s">
        <v>2427</v>
      </c>
      <c r="G124" s="52" t="s">
        <v>2428</v>
      </c>
      <c r="H124" s="52" t="s">
        <v>2429</v>
      </c>
      <c r="I124" s="52" t="s">
        <v>2430</v>
      </c>
      <c r="J124" s="52" t="s">
        <v>2274</v>
      </c>
      <c r="K124" s="53" t="s">
        <v>1632</v>
      </c>
      <c r="L124" s="52"/>
    </row>
    <row r="125" spans="1:12" ht="96" customHeight="1" x14ac:dyDescent="0.15">
      <c r="A125" s="50" t="s">
        <v>1227</v>
      </c>
      <c r="B125" s="55" t="s">
        <v>1040</v>
      </c>
      <c r="C125" s="52" t="s">
        <v>2431</v>
      </c>
      <c r="D125" s="52" t="s">
        <v>2432</v>
      </c>
      <c r="E125" s="52" t="s">
        <v>2433</v>
      </c>
      <c r="F125" s="52" t="s">
        <v>2434</v>
      </c>
      <c r="G125" s="52" t="s">
        <v>2435</v>
      </c>
      <c r="H125" s="52" t="s">
        <v>1229</v>
      </c>
      <c r="I125" s="52" t="s">
        <v>2436</v>
      </c>
      <c r="J125" s="52" t="s">
        <v>2215</v>
      </c>
      <c r="K125" s="53" t="s">
        <v>1632</v>
      </c>
      <c r="L125" s="52"/>
    </row>
    <row r="126" spans="1:12" ht="96" customHeight="1" x14ac:dyDescent="0.15">
      <c r="A126" s="50" t="s">
        <v>1230</v>
      </c>
      <c r="B126" s="55" t="s">
        <v>1040</v>
      </c>
      <c r="C126" s="52" t="s">
        <v>2437</v>
      </c>
      <c r="D126" s="52" t="s">
        <v>2438</v>
      </c>
      <c r="E126" s="52" t="s">
        <v>2439</v>
      </c>
      <c r="F126" s="52" t="s">
        <v>2440</v>
      </c>
      <c r="G126" s="52" t="s">
        <v>2441</v>
      </c>
      <c r="H126" s="52" t="s">
        <v>1233</v>
      </c>
      <c r="I126" s="52" t="s">
        <v>2442</v>
      </c>
      <c r="J126" s="52" t="s">
        <v>2215</v>
      </c>
      <c r="K126" s="53" t="s">
        <v>1632</v>
      </c>
      <c r="L126" s="52"/>
    </row>
    <row r="127" spans="1:12" ht="96" customHeight="1" x14ac:dyDescent="0.15">
      <c r="A127" s="50" t="s">
        <v>1234</v>
      </c>
      <c r="B127" s="55" t="s">
        <v>1040</v>
      </c>
      <c r="C127" s="52" t="s">
        <v>2443</v>
      </c>
      <c r="D127" s="52" t="s">
        <v>2444</v>
      </c>
      <c r="E127" s="52" t="s">
        <v>2445</v>
      </c>
      <c r="F127" s="52" t="s">
        <v>2446</v>
      </c>
      <c r="G127" s="52" t="s">
        <v>2447</v>
      </c>
      <c r="H127" s="52" t="s">
        <v>1236</v>
      </c>
      <c r="I127" s="52" t="s">
        <v>2448</v>
      </c>
      <c r="J127" s="52" t="s">
        <v>2410</v>
      </c>
      <c r="K127" s="53" t="s">
        <v>1632</v>
      </c>
      <c r="L127" s="52"/>
    </row>
    <row r="128" spans="1:12" ht="96" customHeight="1" x14ac:dyDescent="0.15">
      <c r="A128" s="50" t="s">
        <v>1237</v>
      </c>
      <c r="B128" s="55" t="s">
        <v>1040</v>
      </c>
      <c r="C128" s="52" t="s">
        <v>2449</v>
      </c>
      <c r="D128" s="52" t="s">
        <v>2450</v>
      </c>
      <c r="E128" s="52" t="s">
        <v>2451</v>
      </c>
      <c r="F128" s="52" t="s">
        <v>2452</v>
      </c>
      <c r="G128" s="52" t="s">
        <v>2453</v>
      </c>
      <c r="H128" s="52" t="s">
        <v>2454</v>
      </c>
      <c r="I128" s="52" t="s">
        <v>2455</v>
      </c>
      <c r="J128" s="52" t="s">
        <v>2456</v>
      </c>
      <c r="K128" s="53" t="s">
        <v>1632</v>
      </c>
      <c r="L128" s="52"/>
    </row>
    <row r="129" spans="1:12" ht="96" customHeight="1" x14ac:dyDescent="0.15">
      <c r="A129" s="50" t="s">
        <v>1240</v>
      </c>
      <c r="B129" s="55" t="s">
        <v>1040</v>
      </c>
      <c r="C129" s="52" t="s">
        <v>2457</v>
      </c>
      <c r="D129" s="52" t="s">
        <v>2458</v>
      </c>
      <c r="E129" s="52" t="s">
        <v>2459</v>
      </c>
      <c r="F129" s="52" t="s">
        <v>2460</v>
      </c>
      <c r="G129" s="52" t="s">
        <v>2461</v>
      </c>
      <c r="H129" s="52" t="s">
        <v>2462</v>
      </c>
      <c r="I129" s="52" t="s">
        <v>2463</v>
      </c>
      <c r="J129" s="52" t="s">
        <v>1940</v>
      </c>
      <c r="K129" s="53" t="s">
        <v>1632</v>
      </c>
      <c r="L129" s="52"/>
    </row>
    <row r="130" spans="1:12" ht="96" customHeight="1" x14ac:dyDescent="0.15">
      <c r="A130" s="50" t="s">
        <v>1243</v>
      </c>
      <c r="B130" s="55" t="s">
        <v>1040</v>
      </c>
      <c r="C130" s="52" t="s">
        <v>2464</v>
      </c>
      <c r="D130" s="52" t="s">
        <v>2465</v>
      </c>
      <c r="E130" s="52" t="s">
        <v>2466</v>
      </c>
      <c r="F130" s="52" t="s">
        <v>2467</v>
      </c>
      <c r="G130" s="52" t="s">
        <v>2468</v>
      </c>
      <c r="H130" s="52" t="s">
        <v>1245</v>
      </c>
      <c r="I130" s="52" t="s">
        <v>2469</v>
      </c>
      <c r="J130" s="52" t="s">
        <v>2215</v>
      </c>
      <c r="K130" s="53" t="s">
        <v>1632</v>
      </c>
      <c r="L130" s="52"/>
    </row>
    <row r="131" spans="1:12" ht="36" customHeight="1" x14ac:dyDescent="0.15">
      <c r="A131" s="50" t="s">
        <v>1246</v>
      </c>
      <c r="B131" s="55" t="s">
        <v>1040</v>
      </c>
      <c r="C131" s="52" t="s">
        <v>2470</v>
      </c>
      <c r="D131" s="52" t="s">
        <v>2714</v>
      </c>
      <c r="E131" s="52" t="s">
        <v>2471</v>
      </c>
      <c r="F131" s="52" t="s">
        <v>2472</v>
      </c>
      <c r="G131" s="52" t="s">
        <v>2473</v>
      </c>
      <c r="H131" s="52" t="s">
        <v>2715</v>
      </c>
      <c r="I131" s="52" t="s">
        <v>2716</v>
      </c>
      <c r="J131" s="52" t="s">
        <v>2474</v>
      </c>
      <c r="K131" s="53" t="s">
        <v>1632</v>
      </c>
      <c r="L131" s="52"/>
    </row>
  </sheetData>
  <mergeCells count="5">
    <mergeCell ref="A1:L1"/>
    <mergeCell ref="A3:L4"/>
    <mergeCell ref="A6:D7"/>
    <mergeCell ref="E6:H7"/>
    <mergeCell ref="I6:L7"/>
  </mergeCells>
  <conditionalFormatting sqref="K10:K131">
    <cfRule type="expression" dxfId="2" priority="2">
      <formula>K10="✅ Terminé"</formula>
    </cfRule>
    <cfRule type="expression" dxfId="1" priority="3">
      <formula>K10="🔄 En cours"</formula>
    </cfRule>
    <cfRule type="expression" dxfId="0" priority="4">
      <formula>K10="⏸️ Bloqué"</formula>
    </cfRule>
  </conditionalFormatting>
  <dataValidations count="1">
    <dataValidation type="list" sqref="K10:K131" xr:uid="{00000000-0002-0000-0C00-000000000000}">
      <formula1>"⬜ À faire,🔄 En cours,✅ Terminé,⏸️ Bloqué"</formula1>
      <formula2>0</formula2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40"/>
  <sheetViews>
    <sheetView showGridLines="0" workbookViewId="0">
      <selection sqref="A1:E1"/>
    </sheetView>
  </sheetViews>
  <sheetFormatPr baseColWidth="10" defaultColWidth="8.83203125" defaultRowHeight="13" x14ac:dyDescent="0.15"/>
  <cols>
    <col min="1" max="2" width="25" customWidth="1"/>
    <col min="3" max="4" width="58" customWidth="1"/>
    <col min="5" max="5" width="34" customWidth="1"/>
  </cols>
  <sheetData>
    <row r="1" spans="1:5" ht="19.25" customHeight="1" x14ac:dyDescent="0.2">
      <c r="A1" s="76" t="s">
        <v>2717</v>
      </c>
      <c r="B1" s="76"/>
      <c r="C1" s="76"/>
      <c r="D1" s="76"/>
      <c r="E1" s="76"/>
    </row>
    <row r="2" spans="1:5" ht="15" customHeight="1" x14ac:dyDescent="0.15">
      <c r="A2" s="77" t="s">
        <v>2718</v>
      </c>
      <c r="B2" s="77"/>
      <c r="C2" s="77"/>
      <c r="D2" s="77"/>
      <c r="E2" s="77"/>
    </row>
    <row r="4" spans="1:5" ht="15" customHeight="1" x14ac:dyDescent="0.15">
      <c r="A4" s="56" t="s">
        <v>2719</v>
      </c>
      <c r="B4" s="56" t="s">
        <v>2720</v>
      </c>
      <c r="C4" s="56" t="s">
        <v>2721</v>
      </c>
      <c r="D4" s="56" t="s">
        <v>2722</v>
      </c>
    </row>
    <row r="5" spans="1:5" ht="24" customHeight="1" x14ac:dyDescent="0.15">
      <c r="A5" s="63" t="s">
        <v>2723</v>
      </c>
      <c r="B5" s="57" t="s">
        <v>2724</v>
      </c>
      <c r="C5" s="57" t="s">
        <v>2725</v>
      </c>
      <c r="D5" s="58" t="s">
        <v>2726</v>
      </c>
    </row>
    <row r="6" spans="1:5" ht="15" customHeight="1" x14ac:dyDescent="0.15">
      <c r="A6" s="64" t="s">
        <v>2727</v>
      </c>
      <c r="B6" s="59" t="s">
        <v>2728</v>
      </c>
      <c r="C6" s="59" t="s">
        <v>2729</v>
      </c>
      <c r="D6" s="60" t="s">
        <v>2730</v>
      </c>
    </row>
    <row r="7" spans="1:5" ht="15" customHeight="1" x14ac:dyDescent="0.15">
      <c r="A7" s="64" t="s">
        <v>2731</v>
      </c>
      <c r="B7" s="59" t="s">
        <v>2728</v>
      </c>
      <c r="C7" s="59" t="s">
        <v>2732</v>
      </c>
      <c r="D7" s="60" t="s">
        <v>2733</v>
      </c>
    </row>
    <row r="8" spans="1:5" ht="15" customHeight="1" x14ac:dyDescent="0.15">
      <c r="A8" s="64" t="s">
        <v>2734</v>
      </c>
      <c r="B8" s="59" t="s">
        <v>2735</v>
      </c>
      <c r="C8" s="59" t="s">
        <v>2736</v>
      </c>
      <c r="D8" s="60" t="s">
        <v>2737</v>
      </c>
    </row>
    <row r="9" spans="1:5" ht="15" customHeight="1" x14ac:dyDescent="0.15">
      <c r="A9" s="64" t="s">
        <v>2738</v>
      </c>
      <c r="B9" s="59" t="s">
        <v>2735</v>
      </c>
      <c r="C9" s="59" t="s">
        <v>2739</v>
      </c>
      <c r="D9" s="60" t="s">
        <v>2740</v>
      </c>
    </row>
    <row r="10" spans="1:5" ht="24" customHeight="1" x14ac:dyDescent="0.15">
      <c r="A10" s="64" t="s">
        <v>2741</v>
      </c>
      <c r="B10" s="59" t="s">
        <v>2742</v>
      </c>
      <c r="C10" s="59" t="s">
        <v>2743</v>
      </c>
      <c r="D10" s="60" t="s">
        <v>2744</v>
      </c>
    </row>
    <row r="11" spans="1:5" ht="15" customHeight="1" x14ac:dyDescent="0.15">
      <c r="A11" s="65" t="s">
        <v>2745</v>
      </c>
      <c r="B11" s="61" t="s">
        <v>2728</v>
      </c>
      <c r="C11" s="61" t="s">
        <v>2746</v>
      </c>
      <c r="D11" s="62" t="s">
        <v>2747</v>
      </c>
    </row>
    <row r="13" spans="1:5" ht="15" customHeight="1" x14ac:dyDescent="0.15">
      <c r="A13" s="56" t="s">
        <v>2748</v>
      </c>
      <c r="B13" s="56" t="s">
        <v>2749</v>
      </c>
      <c r="C13" s="56" t="s">
        <v>2750</v>
      </c>
      <c r="D13" s="56" t="s">
        <v>2751</v>
      </c>
    </row>
    <row r="14" spans="1:5" ht="24" customHeight="1" x14ac:dyDescent="0.15">
      <c r="A14" s="63" t="s">
        <v>2752</v>
      </c>
      <c r="B14" s="57" t="s">
        <v>2723</v>
      </c>
      <c r="C14" s="57" t="s">
        <v>2753</v>
      </c>
      <c r="D14" s="58" t="s">
        <v>2754</v>
      </c>
    </row>
    <row r="15" spans="1:5" ht="15" customHeight="1" x14ac:dyDescent="0.15">
      <c r="A15" s="64" t="s">
        <v>2755</v>
      </c>
      <c r="B15" s="59" t="s">
        <v>2727</v>
      </c>
      <c r="C15" s="59" t="s">
        <v>2756</v>
      </c>
      <c r="D15" s="60" t="s">
        <v>2757</v>
      </c>
    </row>
    <row r="16" spans="1:5" ht="15" customHeight="1" x14ac:dyDescent="0.15">
      <c r="A16" s="64" t="s">
        <v>2758</v>
      </c>
      <c r="B16" s="59" t="s">
        <v>2759</v>
      </c>
      <c r="C16" s="59" t="s">
        <v>2760</v>
      </c>
      <c r="D16" s="60" t="s">
        <v>2761</v>
      </c>
    </row>
    <row r="17" spans="1:5" ht="15" customHeight="1" x14ac:dyDescent="0.15">
      <c r="A17" s="64" t="s">
        <v>2762</v>
      </c>
      <c r="B17" s="59" t="s">
        <v>2741</v>
      </c>
      <c r="C17" s="59" t="s">
        <v>2763</v>
      </c>
      <c r="D17" s="60" t="s">
        <v>2764</v>
      </c>
    </row>
    <row r="18" spans="1:5" ht="15" customHeight="1" x14ac:dyDescent="0.15">
      <c r="A18" s="64" t="s">
        <v>2765</v>
      </c>
      <c r="B18" s="59" t="s">
        <v>2759</v>
      </c>
      <c r="C18" s="59" t="s">
        <v>2766</v>
      </c>
      <c r="D18" s="60" t="s">
        <v>2767</v>
      </c>
    </row>
    <row r="19" spans="1:5" ht="15" customHeight="1" x14ac:dyDescent="0.15">
      <c r="A19" s="64" t="s">
        <v>2768</v>
      </c>
      <c r="B19" s="59" t="s">
        <v>2738</v>
      </c>
      <c r="C19" s="59" t="s">
        <v>2769</v>
      </c>
      <c r="D19" s="60" t="s">
        <v>2770</v>
      </c>
    </row>
    <row r="20" spans="1:5" ht="15" customHeight="1" x14ac:dyDescent="0.15">
      <c r="A20" s="64" t="s">
        <v>2771</v>
      </c>
      <c r="B20" s="59" t="s">
        <v>2772</v>
      </c>
      <c r="C20" s="59" t="s">
        <v>2773</v>
      </c>
      <c r="D20" s="60" t="s">
        <v>2774</v>
      </c>
    </row>
    <row r="21" spans="1:5" ht="15" customHeight="1" x14ac:dyDescent="0.15">
      <c r="A21" s="64" t="s">
        <v>2775</v>
      </c>
      <c r="B21" s="59" t="s">
        <v>2776</v>
      </c>
      <c r="C21" s="59" t="s">
        <v>2777</v>
      </c>
      <c r="D21" s="60" t="s">
        <v>2778</v>
      </c>
    </row>
    <row r="22" spans="1:5" ht="15" customHeight="1" x14ac:dyDescent="0.15">
      <c r="A22" s="65" t="s">
        <v>2779</v>
      </c>
      <c r="B22" s="61" t="s">
        <v>2780</v>
      </c>
      <c r="C22" s="61" t="s">
        <v>2781</v>
      </c>
      <c r="D22" s="62" t="s">
        <v>2782</v>
      </c>
    </row>
    <row r="24" spans="1:5" ht="15" customHeight="1" x14ac:dyDescent="0.15">
      <c r="A24" s="56" t="s">
        <v>1506</v>
      </c>
      <c r="B24" s="56" t="s">
        <v>2783</v>
      </c>
      <c r="C24" s="56" t="s">
        <v>2784</v>
      </c>
      <c r="D24" s="56" t="s">
        <v>2785</v>
      </c>
      <c r="E24" s="56" t="s">
        <v>69</v>
      </c>
    </row>
    <row r="25" spans="1:5" ht="36" customHeight="1" x14ac:dyDescent="0.15">
      <c r="A25" s="63" t="s">
        <v>1311</v>
      </c>
      <c r="B25" s="57" t="s">
        <v>2786</v>
      </c>
      <c r="C25" s="57" t="s">
        <v>2787</v>
      </c>
      <c r="D25" s="57" t="s">
        <v>2788</v>
      </c>
      <c r="E25" s="58" t="s">
        <v>2789</v>
      </c>
    </row>
    <row r="26" spans="1:5" ht="24" customHeight="1" x14ac:dyDescent="0.15">
      <c r="A26" s="64" t="s">
        <v>2790</v>
      </c>
      <c r="B26" s="59" t="s">
        <v>2791</v>
      </c>
      <c r="C26" s="59" t="s">
        <v>2792</v>
      </c>
      <c r="D26" s="59" t="s">
        <v>2793</v>
      </c>
      <c r="E26" s="60" t="s">
        <v>2794</v>
      </c>
    </row>
    <row r="27" spans="1:5" ht="24" customHeight="1" x14ac:dyDescent="0.15">
      <c r="A27" s="64" t="s">
        <v>2795</v>
      </c>
      <c r="B27" s="59" t="s">
        <v>2796</v>
      </c>
      <c r="C27" s="59" t="s">
        <v>2797</v>
      </c>
      <c r="D27" s="59" t="s">
        <v>2798</v>
      </c>
      <c r="E27" s="60" t="s">
        <v>2799</v>
      </c>
    </row>
    <row r="28" spans="1:5" ht="24" customHeight="1" x14ac:dyDescent="0.15">
      <c r="A28" s="64" t="s">
        <v>2800</v>
      </c>
      <c r="B28" s="59" t="s">
        <v>2801</v>
      </c>
      <c r="C28" s="59" t="s">
        <v>2802</v>
      </c>
      <c r="D28" s="59" t="s">
        <v>2803</v>
      </c>
      <c r="E28" s="60" t="s">
        <v>2804</v>
      </c>
    </row>
    <row r="29" spans="1:5" ht="24" customHeight="1" x14ac:dyDescent="0.15">
      <c r="A29" s="64" t="s">
        <v>2805</v>
      </c>
      <c r="B29" s="59" t="s">
        <v>2806</v>
      </c>
      <c r="C29" s="59" t="s">
        <v>2807</v>
      </c>
      <c r="D29" s="59" t="s">
        <v>2808</v>
      </c>
      <c r="E29" s="60" t="s">
        <v>2809</v>
      </c>
    </row>
    <row r="30" spans="1:5" ht="15" customHeight="1" x14ac:dyDescent="0.15">
      <c r="A30" s="64" t="s">
        <v>2810</v>
      </c>
      <c r="B30" s="59" t="s">
        <v>2811</v>
      </c>
      <c r="C30" s="59" t="s">
        <v>2812</v>
      </c>
      <c r="D30" s="59" t="s">
        <v>2813</v>
      </c>
      <c r="E30" s="60" t="s">
        <v>2814</v>
      </c>
    </row>
    <row r="31" spans="1:5" ht="15" customHeight="1" x14ac:dyDescent="0.15">
      <c r="A31" s="64" t="s">
        <v>2815</v>
      </c>
      <c r="B31" s="59" t="s">
        <v>2816</v>
      </c>
      <c r="C31" s="59" t="s">
        <v>2817</v>
      </c>
      <c r="D31" s="59" t="s">
        <v>2818</v>
      </c>
      <c r="E31" s="60" t="s">
        <v>2819</v>
      </c>
    </row>
    <row r="32" spans="1:5" ht="24" customHeight="1" x14ac:dyDescent="0.15">
      <c r="A32" s="64" t="s">
        <v>2820</v>
      </c>
      <c r="B32" s="59" t="s">
        <v>2821</v>
      </c>
      <c r="C32" s="59" t="s">
        <v>2822</v>
      </c>
      <c r="D32" s="59" t="s">
        <v>2823</v>
      </c>
      <c r="E32" s="60" t="s">
        <v>2824</v>
      </c>
    </row>
    <row r="33" spans="1:5" ht="15" customHeight="1" x14ac:dyDescent="0.15">
      <c r="A33" s="65" t="s">
        <v>2825</v>
      </c>
      <c r="B33" s="61" t="s">
        <v>2826</v>
      </c>
      <c r="C33" s="61" t="s">
        <v>2827</v>
      </c>
      <c r="D33" s="61" t="s">
        <v>2828</v>
      </c>
      <c r="E33" s="62" t="s">
        <v>2829</v>
      </c>
    </row>
    <row r="35" spans="1:5" ht="15" customHeight="1" x14ac:dyDescent="0.15">
      <c r="A35" s="56" t="s">
        <v>2830</v>
      </c>
      <c r="B35" s="56" t="s">
        <v>2831</v>
      </c>
      <c r="C35" s="56" t="s">
        <v>2832</v>
      </c>
      <c r="D35" s="56" t="s">
        <v>2833</v>
      </c>
    </row>
    <row r="36" spans="1:5" ht="15" customHeight="1" x14ac:dyDescent="0.15">
      <c r="A36" s="63" t="s">
        <v>2834</v>
      </c>
      <c r="B36" s="57" t="s">
        <v>2835</v>
      </c>
      <c r="C36" s="57" t="s">
        <v>2836</v>
      </c>
      <c r="D36" s="58" t="s">
        <v>2837</v>
      </c>
    </row>
    <row r="37" spans="1:5" ht="15" customHeight="1" x14ac:dyDescent="0.15">
      <c r="A37" s="64" t="s">
        <v>2838</v>
      </c>
      <c r="B37" s="59" t="s">
        <v>2839</v>
      </c>
      <c r="C37" s="59" t="s">
        <v>2840</v>
      </c>
      <c r="D37" s="60" t="s">
        <v>2841</v>
      </c>
    </row>
    <row r="38" spans="1:5" ht="24" customHeight="1" x14ac:dyDescent="0.15">
      <c r="A38" s="64" t="s">
        <v>2842</v>
      </c>
      <c r="B38" s="59" t="s">
        <v>2843</v>
      </c>
      <c r="C38" s="59" t="s">
        <v>2844</v>
      </c>
      <c r="D38" s="60" t="s">
        <v>2845</v>
      </c>
    </row>
    <row r="39" spans="1:5" ht="15" customHeight="1" x14ac:dyDescent="0.15">
      <c r="A39" s="64" t="s">
        <v>2846</v>
      </c>
      <c r="B39" s="59" t="s">
        <v>2847</v>
      </c>
      <c r="C39" s="59" t="s">
        <v>2848</v>
      </c>
      <c r="D39" s="60" t="s">
        <v>2849</v>
      </c>
    </row>
    <row r="40" spans="1:5" ht="15" customHeight="1" x14ac:dyDescent="0.15">
      <c r="A40" s="65" t="s">
        <v>2850</v>
      </c>
      <c r="B40" s="61" t="s">
        <v>2851</v>
      </c>
      <c r="C40" s="61" t="s">
        <v>2852</v>
      </c>
      <c r="D40" s="62" t="s">
        <v>2853</v>
      </c>
    </row>
  </sheetData>
  <mergeCells count="2">
    <mergeCell ref="A1:E1"/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Dashboard</vt:lpstr>
      <vt:lpstr>Année 3 - Guide</vt:lpstr>
      <vt:lpstr>Année 3 - Axe A (Platform)</vt:lpstr>
      <vt:lpstr>Année 3 - Axe B (Security)</vt:lpstr>
      <vt:lpstr>Année 3 - Axe C (Network)</vt:lpstr>
      <vt:lpstr>Année 3 - Axe D (Data)</vt:lpstr>
      <vt:lpstr>Planning Détaillé</vt:lpstr>
      <vt:lpstr>Emploi du temps (W001-W122)</vt:lpstr>
      <vt:lpstr>Catalogue Formations</vt:lpstr>
      <vt:lpstr>TeamPulse Evolution</vt:lpstr>
      <vt:lpstr>TeamPulse Features</vt:lpstr>
      <vt:lpstr>LocalStack vs AWS</vt:lpstr>
      <vt:lpstr>TeamPulse - Exécution</vt:lpstr>
      <vt:lpstr>Scénario métier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Moussab Amine AMRINE</cp:lastModifiedBy>
  <dcterms:modified xsi:type="dcterms:W3CDTF">2026-08-02T21:18:07Z</dcterms:modified>
</cp:coreProperties>
</file>